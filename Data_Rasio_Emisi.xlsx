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eagate\Documents\01. BRIN\2025\DLH\"/>
    </mc:Choice>
  </mc:AlternateContent>
  <xr:revisionPtr revIDLastSave="0" documentId="13_ncr:1_{3751705B-2848-4B4A-981E-872135050A3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endaraan Roda Dua" sheetId="1" r:id="rId1"/>
    <sheet name="Bensin" sheetId="2" r:id="rId2"/>
    <sheet name="Solar" sheetId="3" r:id="rId3"/>
  </sheets>
  <calcPr calcId="191029"/>
</workbook>
</file>

<file path=xl/calcChain.xml><?xml version="1.0" encoding="utf-8"?>
<calcChain xmlns="http://schemas.openxmlformats.org/spreadsheetml/2006/main">
  <c r="A130" i="3" l="1"/>
  <c r="A135" i="3"/>
  <c r="A140" i="3"/>
  <c r="A145" i="3"/>
  <c r="A150" i="3"/>
  <c r="A155" i="3"/>
  <c r="A160" i="3"/>
  <c r="A165" i="3"/>
  <c r="A125" i="3"/>
  <c r="A120" i="3"/>
  <c r="A115" i="3"/>
  <c r="A110" i="3"/>
  <c r="A105" i="3"/>
  <c r="A100" i="3"/>
  <c r="A95" i="3"/>
  <c r="A90" i="3"/>
  <c r="A85" i="3"/>
  <c r="A80" i="3"/>
  <c r="A75" i="3"/>
  <c r="A70" i="3"/>
  <c r="A65" i="3"/>
  <c r="A60" i="3"/>
  <c r="A55" i="3"/>
  <c r="A50" i="3"/>
  <c r="A45" i="3"/>
  <c r="A41" i="3"/>
  <c r="A36" i="3"/>
  <c r="A31" i="3"/>
  <c r="A27" i="3"/>
  <c r="A23" i="3"/>
  <c r="A19" i="3"/>
  <c r="A15" i="3"/>
  <c r="A6" i="3"/>
  <c r="A11" i="3"/>
  <c r="A2" i="3"/>
  <c r="A5" i="2"/>
  <c r="A8" i="2"/>
  <c r="A11" i="2"/>
  <c r="A14" i="2"/>
  <c r="A17" i="2"/>
  <c r="A20" i="2"/>
  <c r="A23" i="2"/>
  <c r="A26" i="2"/>
  <c r="A29" i="2"/>
  <c r="A32" i="2"/>
  <c r="A35" i="2"/>
  <c r="A38" i="2"/>
  <c r="A41" i="2"/>
  <c r="A44" i="2"/>
  <c r="A47" i="2"/>
  <c r="A50" i="2"/>
  <c r="A53" i="2"/>
  <c r="A56" i="2"/>
  <c r="A59" i="2"/>
  <c r="A62" i="2"/>
  <c r="A65" i="2"/>
  <c r="A68" i="2"/>
  <c r="A71" i="2"/>
  <c r="A74" i="2"/>
  <c r="A77" i="2"/>
  <c r="A80" i="2"/>
  <c r="A83" i="2"/>
  <c r="A86" i="2"/>
  <c r="A89" i="2"/>
  <c r="A92" i="2"/>
  <c r="A95" i="2"/>
  <c r="A98" i="2"/>
  <c r="A101" i="2"/>
  <c r="A104" i="2"/>
  <c r="A2" i="2"/>
</calcChain>
</file>

<file path=xl/sharedStrings.xml><?xml version="1.0" encoding="utf-8"?>
<sst xmlns="http://schemas.openxmlformats.org/spreadsheetml/2006/main" count="284" uniqueCount="10">
  <si>
    <t>Tahun Pembuatan</t>
  </si>
  <si>
    <t>Klasifikasi</t>
  </si>
  <si>
    <t>B</t>
  </si>
  <si>
    <t>C</t>
  </si>
  <si>
    <t>D</t>
  </si>
  <si>
    <t>F</t>
  </si>
  <si>
    <t>G</t>
  </si>
  <si>
    <t>E</t>
  </si>
  <si>
    <t>Umur Kendaraan</t>
  </si>
  <si>
    <t>Rata-Rata Rasio Emisi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</si>
</sst>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>
      <selection activeCell="B40" sqref="B40"/>
    </sheetView>
  </sheetViews>
  <sheetFormatPr defaultRowHeight="14.5" x14ac:dyDescent="0.35"/>
  <cols>
    <col min="1" max="1" width="15.54296875" customWidth="1"/>
    <col min="2" max="2" width="17.7265625" customWidth="1"/>
    <col min="3" max="3" width="21.26953125" style="8" customWidth="1"/>
  </cols>
  <sheetData>
    <row r="1" spans="1:3" x14ac:dyDescent="0.35">
      <c r="A1" s="2" t="s">
        <v>8</v>
      </c>
      <c r="B1" s="1" t="s">
        <v>0</v>
      </c>
      <c r="C1" s="6" t="s">
        <v>9</v>
      </c>
    </row>
    <row r="2" spans="1:3" x14ac:dyDescent="0.35">
      <c r="A2" s="3">
        <v>35</v>
      </c>
      <c r="B2" s="1">
        <v>1990</v>
      </c>
      <c r="C2" s="7">
        <v>7.5454544999999998E-2</v>
      </c>
    </row>
    <row r="3" spans="1:3" x14ac:dyDescent="0.35">
      <c r="A3" s="3">
        <v>34</v>
      </c>
      <c r="B3" s="1">
        <v>1991</v>
      </c>
      <c r="C3" s="7">
        <v>6.4545455000000002E-2</v>
      </c>
    </row>
    <row r="4" spans="1:3" x14ac:dyDescent="0.35">
      <c r="A4" s="3">
        <v>33</v>
      </c>
      <c r="B4" s="1">
        <v>1992</v>
      </c>
      <c r="C4" s="7">
        <v>0.72909090899999995</v>
      </c>
    </row>
    <row r="5" spans="1:3" x14ac:dyDescent="0.35">
      <c r="A5" s="3">
        <v>32</v>
      </c>
      <c r="B5" s="1">
        <v>1993</v>
      </c>
      <c r="C5" s="7">
        <v>2.2000000000000002</v>
      </c>
    </row>
    <row r="6" spans="1:3" x14ac:dyDescent="0.35">
      <c r="A6" s="3">
        <v>31</v>
      </c>
      <c r="B6" s="1">
        <v>1994</v>
      </c>
      <c r="C6" s="7">
        <v>0.780454545</v>
      </c>
    </row>
    <row r="7" spans="1:3" x14ac:dyDescent="0.35">
      <c r="A7" s="3">
        <v>30</v>
      </c>
      <c r="B7" s="1">
        <v>1995</v>
      </c>
      <c r="C7" s="7">
        <v>3.1872727269999999</v>
      </c>
    </row>
    <row r="8" spans="1:3" x14ac:dyDescent="0.35">
      <c r="A8" s="3">
        <v>29</v>
      </c>
      <c r="B8" s="1">
        <v>1996</v>
      </c>
      <c r="C8" s="7">
        <v>1.8519696969999999</v>
      </c>
    </row>
    <row r="9" spans="1:3" x14ac:dyDescent="0.35">
      <c r="A9" s="3">
        <v>28</v>
      </c>
      <c r="B9" s="1">
        <v>1997</v>
      </c>
      <c r="C9" s="7">
        <v>0.86015151533333345</v>
      </c>
    </row>
    <row r="10" spans="1:3" x14ac:dyDescent="0.35">
      <c r="A10" s="3">
        <v>27</v>
      </c>
      <c r="B10" s="1">
        <v>1998</v>
      </c>
      <c r="C10" s="7">
        <v>0.75636363600000001</v>
      </c>
    </row>
    <row r="11" spans="1:3" x14ac:dyDescent="0.35">
      <c r="A11" s="3">
        <v>26</v>
      </c>
      <c r="B11" s="1">
        <v>1999</v>
      </c>
      <c r="C11" s="7">
        <v>1.681818182</v>
      </c>
    </row>
    <row r="12" spans="1:3" x14ac:dyDescent="0.35">
      <c r="A12" s="3">
        <v>25</v>
      </c>
      <c r="B12" s="1">
        <v>2000</v>
      </c>
      <c r="C12" s="7">
        <v>1.5024999999999999</v>
      </c>
    </row>
    <row r="13" spans="1:3" x14ac:dyDescent="0.35">
      <c r="A13" s="3">
        <v>24</v>
      </c>
      <c r="B13" s="1">
        <v>2001</v>
      </c>
      <c r="C13" s="7">
        <v>1.4124242425</v>
      </c>
    </row>
    <row r="14" spans="1:3" x14ac:dyDescent="0.35">
      <c r="A14" s="3">
        <v>23</v>
      </c>
      <c r="B14" s="1">
        <v>2002</v>
      </c>
      <c r="C14" s="7">
        <v>1.191363636384615</v>
      </c>
    </row>
    <row r="15" spans="1:3" x14ac:dyDescent="0.35">
      <c r="A15" s="3">
        <v>22</v>
      </c>
      <c r="B15" s="1">
        <v>2003</v>
      </c>
      <c r="C15" s="7">
        <v>0.9604895105128205</v>
      </c>
    </row>
    <row r="16" spans="1:3" x14ac:dyDescent="0.35">
      <c r="A16" s="3">
        <v>21</v>
      </c>
      <c r="B16" s="1">
        <v>2004</v>
      </c>
      <c r="C16" s="7">
        <v>0.92066387555263152</v>
      </c>
    </row>
    <row r="17" spans="1:3" x14ac:dyDescent="0.35">
      <c r="A17" s="3">
        <v>20</v>
      </c>
      <c r="B17" s="1">
        <v>2005</v>
      </c>
      <c r="C17" s="7">
        <v>0.95413131313888877</v>
      </c>
    </row>
    <row r="18" spans="1:3" x14ac:dyDescent="0.35">
      <c r="A18" s="3">
        <v>19</v>
      </c>
      <c r="B18" s="1">
        <v>2006</v>
      </c>
      <c r="C18" s="7">
        <v>0.81510514785140564</v>
      </c>
    </row>
    <row r="19" spans="1:3" x14ac:dyDescent="0.35">
      <c r="A19" s="3">
        <v>18</v>
      </c>
      <c r="B19" s="1">
        <v>2007</v>
      </c>
      <c r="C19" s="7">
        <v>0.94121448864062496</v>
      </c>
    </row>
    <row r="20" spans="1:3" x14ac:dyDescent="0.35">
      <c r="A20" s="3">
        <v>17</v>
      </c>
      <c r="B20" s="1">
        <v>2008</v>
      </c>
      <c r="C20" s="7">
        <v>0.79133712120833333</v>
      </c>
    </row>
    <row r="21" spans="1:3" x14ac:dyDescent="0.35">
      <c r="A21" s="3">
        <v>16</v>
      </c>
      <c r="B21" s="1">
        <v>2009</v>
      </c>
      <c r="C21" s="7">
        <v>0.69732013387116565</v>
      </c>
    </row>
    <row r="22" spans="1:3" x14ac:dyDescent="0.35">
      <c r="A22" s="3">
        <v>15</v>
      </c>
      <c r="B22" s="1">
        <v>2010</v>
      </c>
      <c r="C22" s="7">
        <v>1.0516653039865229</v>
      </c>
    </row>
    <row r="23" spans="1:3" x14ac:dyDescent="0.35">
      <c r="A23" s="3">
        <v>14</v>
      </c>
      <c r="B23" s="1">
        <v>2011</v>
      </c>
      <c r="C23" s="7">
        <v>0.9935044242903226</v>
      </c>
    </row>
    <row r="24" spans="1:3" x14ac:dyDescent="0.35">
      <c r="A24" s="3">
        <v>13</v>
      </c>
      <c r="B24" s="1">
        <v>2012</v>
      </c>
      <c r="C24" s="7">
        <v>0.8348457751546724</v>
      </c>
    </row>
    <row r="25" spans="1:3" x14ac:dyDescent="0.35">
      <c r="A25" s="3">
        <v>12</v>
      </c>
      <c r="B25" s="1">
        <v>2013</v>
      </c>
      <c r="C25" s="7">
        <v>0.69939230113819573</v>
      </c>
    </row>
    <row r="26" spans="1:3" x14ac:dyDescent="0.35">
      <c r="A26" s="3">
        <v>11</v>
      </c>
      <c r="B26" s="1">
        <v>2014</v>
      </c>
      <c r="C26" s="7">
        <v>0.66623015261111107</v>
      </c>
    </row>
    <row r="27" spans="1:3" x14ac:dyDescent="0.35">
      <c r="A27" s="3">
        <v>10</v>
      </c>
      <c r="B27" s="1">
        <v>2015</v>
      </c>
      <c r="C27" s="7">
        <v>0.69864617094756909</v>
      </c>
    </row>
    <row r="28" spans="1:3" x14ac:dyDescent="0.35">
      <c r="A28" s="3">
        <v>9</v>
      </c>
      <c r="B28" s="1">
        <v>2016</v>
      </c>
      <c r="C28" s="7">
        <v>0.6563739892210243</v>
      </c>
    </row>
    <row r="29" spans="1:3" x14ac:dyDescent="0.35">
      <c r="A29" s="3">
        <v>8</v>
      </c>
      <c r="B29" s="1">
        <v>2017</v>
      </c>
      <c r="C29" s="7">
        <v>0.95175605881048864</v>
      </c>
    </row>
    <row r="30" spans="1:3" x14ac:dyDescent="0.35">
      <c r="A30" s="3">
        <v>7</v>
      </c>
      <c r="B30" s="1">
        <v>2018</v>
      </c>
      <c r="C30" s="7">
        <v>0.83906301242468939</v>
      </c>
    </row>
    <row r="31" spans="1:3" x14ac:dyDescent="0.35">
      <c r="A31" s="3">
        <v>6</v>
      </c>
      <c r="B31" s="1">
        <v>2019</v>
      </c>
      <c r="C31" s="7">
        <v>0.81001601971256931</v>
      </c>
    </row>
    <row r="32" spans="1:3" x14ac:dyDescent="0.35">
      <c r="A32" s="3">
        <v>5</v>
      </c>
      <c r="B32" s="1">
        <v>2020</v>
      </c>
      <c r="C32" s="7">
        <v>0.71254591836734693</v>
      </c>
    </row>
    <row r="33" spans="1:3" x14ac:dyDescent="0.35">
      <c r="A33" s="3">
        <v>4</v>
      </c>
      <c r="B33" s="1">
        <v>2021</v>
      </c>
      <c r="C33" s="7">
        <v>0.74598082598672566</v>
      </c>
    </row>
    <row r="34" spans="1:3" x14ac:dyDescent="0.35">
      <c r="A34" s="3">
        <v>3</v>
      </c>
      <c r="B34" s="1">
        <v>2022</v>
      </c>
      <c r="C34" s="7">
        <v>0.58195714285714284</v>
      </c>
    </row>
    <row r="35" spans="1:3" x14ac:dyDescent="0.35">
      <c r="A35" s="3">
        <v>2</v>
      </c>
      <c r="B35" s="1">
        <v>2023</v>
      </c>
      <c r="C35" s="7">
        <v>0.62198705501941742</v>
      </c>
    </row>
    <row r="36" spans="1:3" x14ac:dyDescent="0.35">
      <c r="A36" s="3">
        <v>1</v>
      </c>
      <c r="B36" s="1">
        <v>2024</v>
      </c>
      <c r="C36" s="7">
        <v>0.48166666650000001</v>
      </c>
    </row>
    <row r="37" spans="1:3" x14ac:dyDescent="0.35">
      <c r="A37" s="3">
        <v>0</v>
      </c>
      <c r="B37" s="1">
        <v>2025</v>
      </c>
      <c r="C37" s="7">
        <v>1.1233333329999999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6"/>
  <sheetViews>
    <sheetView workbookViewId="0">
      <selection activeCell="E1" sqref="E1:E1048576"/>
    </sheetView>
  </sheetViews>
  <sheetFormatPr defaultRowHeight="14.5" x14ac:dyDescent="0.35"/>
  <cols>
    <col min="1" max="1" width="15.7265625" customWidth="1"/>
    <col min="2" max="2" width="17.1796875" customWidth="1"/>
    <col min="3" max="3" width="15.36328125" customWidth="1"/>
    <col min="4" max="4" width="20.6328125" customWidth="1"/>
  </cols>
  <sheetData>
    <row r="1" spans="1:4" x14ac:dyDescent="0.35">
      <c r="A1" s="2" t="s">
        <v>8</v>
      </c>
      <c r="B1" s="1" t="s">
        <v>0</v>
      </c>
      <c r="C1" s="1" t="s">
        <v>1</v>
      </c>
      <c r="D1" s="5" t="s">
        <v>9</v>
      </c>
    </row>
    <row r="2" spans="1:4" x14ac:dyDescent="0.35">
      <c r="A2" s="10">
        <f>2025-B2</f>
        <v>35</v>
      </c>
      <c r="B2" s="10">
        <v>1990</v>
      </c>
      <c r="C2" s="1" t="s">
        <v>2</v>
      </c>
      <c r="D2" s="4">
        <v>0.47846726190476191</v>
      </c>
    </row>
    <row r="3" spans="1:4" x14ac:dyDescent="0.35">
      <c r="A3" s="10"/>
      <c r="B3" s="10"/>
      <c r="C3" s="1" t="s">
        <v>3</v>
      </c>
      <c r="D3" s="4">
        <v>0.88533333333333342</v>
      </c>
    </row>
    <row r="4" spans="1:4" x14ac:dyDescent="0.35">
      <c r="A4" s="10"/>
      <c r="B4" s="10"/>
      <c r="C4" s="1" t="s">
        <v>4</v>
      </c>
      <c r="D4" s="4">
        <v>0.7599999999999999</v>
      </c>
    </row>
    <row r="5" spans="1:4" x14ac:dyDescent="0.35">
      <c r="A5" s="10">
        <f t="shared" ref="A5" si="0">2025-B5</f>
        <v>34</v>
      </c>
      <c r="B5" s="10">
        <v>1991</v>
      </c>
      <c r="C5" s="1" t="s">
        <v>2</v>
      </c>
      <c r="D5" s="4">
        <v>0.83343121693121691</v>
      </c>
    </row>
    <row r="6" spans="1:4" x14ac:dyDescent="0.35">
      <c r="A6" s="10"/>
      <c r="B6" s="10"/>
      <c r="C6" s="1" t="s">
        <v>3</v>
      </c>
      <c r="D6" s="4">
        <v>1.594095238095238</v>
      </c>
    </row>
    <row r="7" spans="1:4" x14ac:dyDescent="0.35">
      <c r="A7" s="10"/>
      <c r="B7" s="10"/>
      <c r="C7" s="1" t="s">
        <v>4</v>
      </c>
      <c r="D7" s="4">
        <v>0.93428571428571439</v>
      </c>
    </row>
    <row r="8" spans="1:4" x14ac:dyDescent="0.35">
      <c r="A8" s="10">
        <f t="shared" ref="A8" si="1">2025-B8</f>
        <v>33</v>
      </c>
      <c r="B8" s="10">
        <v>1992</v>
      </c>
      <c r="C8" s="1" t="s">
        <v>2</v>
      </c>
      <c r="D8" s="4">
        <v>0.54125000000000001</v>
      </c>
    </row>
    <row r="9" spans="1:4" x14ac:dyDescent="0.35">
      <c r="A9" s="10"/>
      <c r="B9" s="10"/>
      <c r="C9" s="1" t="s">
        <v>3</v>
      </c>
      <c r="D9" s="4">
        <v>0.40864285714285709</v>
      </c>
    </row>
    <row r="10" spans="1:4" x14ac:dyDescent="0.35">
      <c r="A10" s="10"/>
      <c r="B10" s="10"/>
      <c r="C10" s="1" t="s">
        <v>4</v>
      </c>
      <c r="D10" s="4">
        <v>0.69333333333333336</v>
      </c>
    </row>
    <row r="11" spans="1:4" x14ac:dyDescent="0.35">
      <c r="A11" s="10">
        <f t="shared" ref="A11" si="2">2025-B11</f>
        <v>32</v>
      </c>
      <c r="B11" s="10">
        <v>1993</v>
      </c>
      <c r="C11" s="1" t="s">
        <v>2</v>
      </c>
      <c r="D11" s="4">
        <v>0.38423809523809521</v>
      </c>
    </row>
    <row r="12" spans="1:4" x14ac:dyDescent="0.35">
      <c r="A12" s="10"/>
      <c r="B12" s="10"/>
      <c r="C12" s="1" t="s">
        <v>3</v>
      </c>
      <c r="D12" s="4">
        <v>0.92049999999999998</v>
      </c>
    </row>
    <row r="13" spans="1:4" x14ac:dyDescent="0.35">
      <c r="A13" s="10"/>
      <c r="B13" s="10"/>
      <c r="C13" s="1" t="s">
        <v>4</v>
      </c>
      <c r="D13" s="4">
        <v>1</v>
      </c>
    </row>
    <row r="14" spans="1:4" x14ac:dyDescent="0.35">
      <c r="A14" s="10">
        <f t="shared" ref="A14" si="3">2025-B14</f>
        <v>31</v>
      </c>
      <c r="B14" s="10">
        <v>1994</v>
      </c>
      <c r="C14" s="1" t="s">
        <v>2</v>
      </c>
      <c r="D14" s="4">
        <v>0.43259523809523809</v>
      </c>
    </row>
    <row r="15" spans="1:4" x14ac:dyDescent="0.35">
      <c r="A15" s="10"/>
      <c r="B15" s="10"/>
      <c r="C15" s="1" t="s">
        <v>3</v>
      </c>
      <c r="D15" s="4">
        <v>1.467224206349206</v>
      </c>
    </row>
    <row r="16" spans="1:4" x14ac:dyDescent="0.35">
      <c r="A16" s="10"/>
      <c r="B16" s="10"/>
      <c r="C16" s="1" t="s">
        <v>4</v>
      </c>
      <c r="D16" s="4">
        <v>0.745</v>
      </c>
    </row>
    <row r="17" spans="1:4" x14ac:dyDescent="0.35">
      <c r="A17" s="10">
        <f t="shared" ref="A17" si="4">2025-B17</f>
        <v>30</v>
      </c>
      <c r="B17" s="10">
        <v>1995</v>
      </c>
      <c r="C17" s="1" t="s">
        <v>2</v>
      </c>
      <c r="D17" s="4">
        <v>0.55564285714285711</v>
      </c>
    </row>
    <row r="18" spans="1:4" x14ac:dyDescent="0.35">
      <c r="A18" s="10"/>
      <c r="B18" s="10"/>
      <c r="C18" s="1" t="s">
        <v>3</v>
      </c>
      <c r="D18" s="4">
        <v>0.92147058823529404</v>
      </c>
    </row>
    <row r="19" spans="1:4" x14ac:dyDescent="0.35">
      <c r="A19" s="10"/>
      <c r="B19" s="10"/>
      <c r="C19" s="1" t="s">
        <v>4</v>
      </c>
      <c r="D19" s="4">
        <v>0.64571428571428569</v>
      </c>
    </row>
    <row r="20" spans="1:4" x14ac:dyDescent="0.35">
      <c r="A20" s="10">
        <f t="shared" ref="A20" si="5">2025-B20</f>
        <v>29</v>
      </c>
      <c r="B20" s="10">
        <v>1996</v>
      </c>
      <c r="C20" s="1" t="s">
        <v>2</v>
      </c>
      <c r="D20" s="4">
        <v>0.27611624649859939</v>
      </c>
    </row>
    <row r="21" spans="1:4" x14ac:dyDescent="0.35">
      <c r="A21" s="10"/>
      <c r="B21" s="10"/>
      <c r="C21" s="1" t="s">
        <v>3</v>
      </c>
      <c r="D21" s="4">
        <v>1.0508288690476191</v>
      </c>
    </row>
    <row r="22" spans="1:4" x14ac:dyDescent="0.35">
      <c r="A22" s="10"/>
      <c r="B22" s="10"/>
      <c r="C22" s="1" t="s">
        <v>4</v>
      </c>
      <c r="D22" s="4">
        <v>0.68666666666666665</v>
      </c>
    </row>
    <row r="23" spans="1:4" x14ac:dyDescent="0.35">
      <c r="A23" s="10">
        <f t="shared" ref="A23" si="6">2025-B23</f>
        <v>28</v>
      </c>
      <c r="B23" s="10">
        <v>1997</v>
      </c>
      <c r="C23" s="1" t="s">
        <v>2</v>
      </c>
      <c r="D23" s="4">
        <v>0.54632275132275121</v>
      </c>
    </row>
    <row r="24" spans="1:4" x14ac:dyDescent="0.35">
      <c r="A24" s="10"/>
      <c r="B24" s="10"/>
      <c r="C24" s="1" t="s">
        <v>3</v>
      </c>
      <c r="D24" s="4">
        <v>1.0367328869047621</v>
      </c>
    </row>
    <row r="25" spans="1:4" x14ac:dyDescent="0.35">
      <c r="A25" s="10"/>
      <c r="B25" s="10"/>
      <c r="C25" s="1" t="s">
        <v>4</v>
      </c>
      <c r="D25" s="4">
        <v>0.11454545454545451</v>
      </c>
    </row>
    <row r="26" spans="1:4" x14ac:dyDescent="0.35">
      <c r="A26" s="10">
        <f t="shared" ref="A26" si="7">2025-B26</f>
        <v>27</v>
      </c>
      <c r="B26" s="10">
        <v>1998</v>
      </c>
      <c r="C26" s="1" t="s">
        <v>2</v>
      </c>
      <c r="D26" s="4">
        <v>0.31416666666666671</v>
      </c>
    </row>
    <row r="27" spans="1:4" x14ac:dyDescent="0.35">
      <c r="A27" s="10"/>
      <c r="B27" s="10"/>
      <c r="C27" s="1" t="s">
        <v>3</v>
      </c>
      <c r="D27" s="4">
        <v>0.30647619047619051</v>
      </c>
    </row>
    <row r="28" spans="1:4" x14ac:dyDescent="0.35">
      <c r="A28" s="10"/>
      <c r="B28" s="10"/>
      <c r="C28" s="1" t="s">
        <v>4</v>
      </c>
      <c r="D28" s="4">
        <v>0.97571428571428576</v>
      </c>
    </row>
    <row r="29" spans="1:4" x14ac:dyDescent="0.35">
      <c r="A29" s="10">
        <f t="shared" ref="A29" si="8">2025-B29</f>
        <v>26</v>
      </c>
      <c r="B29" s="10">
        <v>1999</v>
      </c>
      <c r="C29" s="1" t="s">
        <v>2</v>
      </c>
      <c r="D29" s="4">
        <v>0.30499999999999999</v>
      </c>
    </row>
    <row r="30" spans="1:4" x14ac:dyDescent="0.35">
      <c r="A30" s="10"/>
      <c r="B30" s="10"/>
      <c r="C30" s="1" t="s">
        <v>3</v>
      </c>
      <c r="D30" s="4">
        <v>0.97349999999999992</v>
      </c>
    </row>
    <row r="31" spans="1:4" x14ac:dyDescent="0.35">
      <c r="A31" s="10"/>
      <c r="B31" s="10"/>
      <c r="C31" s="1" t="s">
        <v>4</v>
      </c>
      <c r="D31" s="4">
        <v>0.505</v>
      </c>
    </row>
    <row r="32" spans="1:4" x14ac:dyDescent="0.35">
      <c r="A32" s="10">
        <f t="shared" ref="A32" si="9">2025-B32</f>
        <v>25</v>
      </c>
      <c r="B32" s="10">
        <v>2000</v>
      </c>
      <c r="C32" s="1" t="s">
        <v>2</v>
      </c>
      <c r="D32" s="4">
        <v>0.35128113553113549</v>
      </c>
    </row>
    <row r="33" spans="1:4" x14ac:dyDescent="0.35">
      <c r="A33" s="10"/>
      <c r="B33" s="10"/>
      <c r="C33" s="1" t="s">
        <v>3</v>
      </c>
      <c r="D33" s="4">
        <v>0.46456918238993711</v>
      </c>
    </row>
    <row r="34" spans="1:4" x14ac:dyDescent="0.35">
      <c r="A34" s="10"/>
      <c r="B34" s="10"/>
      <c r="C34" s="1" t="s">
        <v>4</v>
      </c>
      <c r="D34" s="4">
        <v>0.22727272727272721</v>
      </c>
    </row>
    <row r="35" spans="1:4" x14ac:dyDescent="0.35">
      <c r="A35" s="10">
        <f t="shared" ref="A35" si="10">2025-B35</f>
        <v>24</v>
      </c>
      <c r="B35" s="10">
        <v>2001</v>
      </c>
      <c r="C35" s="1" t="s">
        <v>2</v>
      </c>
      <c r="D35" s="4">
        <v>0.35852380952380952</v>
      </c>
    </row>
    <row r="36" spans="1:4" x14ac:dyDescent="0.35">
      <c r="A36" s="10"/>
      <c r="B36" s="10"/>
      <c r="C36" s="1" t="s">
        <v>3</v>
      </c>
      <c r="D36" s="4">
        <v>0.42757194616977218</v>
      </c>
    </row>
    <row r="37" spans="1:4" x14ac:dyDescent="0.35">
      <c r="A37" s="10"/>
      <c r="B37" s="10"/>
      <c r="C37" s="1" t="s">
        <v>4</v>
      </c>
      <c r="D37" s="4">
        <v>2.101666666666667</v>
      </c>
    </row>
    <row r="38" spans="1:4" x14ac:dyDescent="0.35">
      <c r="A38" s="10">
        <f t="shared" ref="A38" si="11">2025-B38</f>
        <v>23</v>
      </c>
      <c r="B38" s="10">
        <v>2002</v>
      </c>
      <c r="C38" s="1" t="s">
        <v>2</v>
      </c>
      <c r="D38" s="4">
        <v>0.32662044817927172</v>
      </c>
    </row>
    <row r="39" spans="1:4" x14ac:dyDescent="0.35">
      <c r="A39" s="10"/>
      <c r="B39" s="10"/>
      <c r="C39" s="1" t="s">
        <v>3</v>
      </c>
      <c r="D39" s="4">
        <v>0.44465109890109888</v>
      </c>
    </row>
    <row r="40" spans="1:4" x14ac:dyDescent="0.35">
      <c r="A40" s="10"/>
      <c r="B40" s="10"/>
      <c r="C40" s="1" t="s">
        <v>4</v>
      </c>
      <c r="D40" s="4">
        <v>0.42160714285714279</v>
      </c>
    </row>
    <row r="41" spans="1:4" x14ac:dyDescent="0.35">
      <c r="A41" s="10">
        <f t="shared" ref="A41" si="12">2025-B41</f>
        <v>22</v>
      </c>
      <c r="B41" s="10">
        <v>2003</v>
      </c>
      <c r="C41" s="1" t="s">
        <v>2</v>
      </c>
      <c r="D41" s="4">
        <v>0.28496267696267691</v>
      </c>
    </row>
    <row r="42" spans="1:4" x14ac:dyDescent="0.35">
      <c r="A42" s="10"/>
      <c r="B42" s="10"/>
      <c r="C42" s="1" t="s">
        <v>3</v>
      </c>
      <c r="D42" s="4">
        <v>0.5337096052096052</v>
      </c>
    </row>
    <row r="43" spans="1:4" x14ac:dyDescent="0.35">
      <c r="A43" s="10"/>
      <c r="B43" s="10"/>
      <c r="C43" s="1" t="s">
        <v>4</v>
      </c>
      <c r="D43" s="4">
        <v>0.87312500000000004</v>
      </c>
    </row>
    <row r="44" spans="1:4" x14ac:dyDescent="0.35">
      <c r="A44" s="10">
        <f t="shared" ref="A44" si="13">2025-B44</f>
        <v>21</v>
      </c>
      <c r="B44" s="10">
        <v>2004</v>
      </c>
      <c r="C44" s="1" t="s">
        <v>2</v>
      </c>
      <c r="D44" s="4">
        <v>0.1801547619047619</v>
      </c>
    </row>
    <row r="45" spans="1:4" x14ac:dyDescent="0.35">
      <c r="A45" s="10"/>
      <c r="B45" s="10"/>
      <c r="C45" s="1" t="s">
        <v>3</v>
      </c>
      <c r="D45" s="4">
        <v>0.35390452938988087</v>
      </c>
    </row>
    <row r="46" spans="1:4" x14ac:dyDescent="0.35">
      <c r="A46" s="10"/>
      <c r="B46" s="10"/>
      <c r="C46" s="1" t="s">
        <v>4</v>
      </c>
      <c r="D46" s="4">
        <v>0.42148268398268401</v>
      </c>
    </row>
    <row r="47" spans="1:4" x14ac:dyDescent="0.35">
      <c r="A47" s="10">
        <f t="shared" ref="A47" si="14">2025-B47</f>
        <v>20</v>
      </c>
      <c r="B47" s="10">
        <v>2005</v>
      </c>
      <c r="C47" s="1" t="s">
        <v>2</v>
      </c>
      <c r="D47" s="4">
        <v>0.22759213250517599</v>
      </c>
    </row>
    <row r="48" spans="1:4" x14ac:dyDescent="0.35">
      <c r="A48" s="10"/>
      <c r="B48" s="10"/>
      <c r="C48" s="1" t="s">
        <v>3</v>
      </c>
      <c r="D48" s="4">
        <v>0.28382347535505431</v>
      </c>
    </row>
    <row r="49" spans="1:4" x14ac:dyDescent="0.35">
      <c r="A49" s="10"/>
      <c r="B49" s="10"/>
      <c r="C49" s="1" t="s">
        <v>4</v>
      </c>
      <c r="D49" s="4">
        <v>0.64328904428904421</v>
      </c>
    </row>
    <row r="50" spans="1:4" x14ac:dyDescent="0.35">
      <c r="A50" s="10">
        <f t="shared" ref="A50" si="15">2025-B50</f>
        <v>19</v>
      </c>
      <c r="B50" s="10">
        <v>2006</v>
      </c>
      <c r="C50" s="1" t="s">
        <v>2</v>
      </c>
      <c r="D50" s="4">
        <v>0.23294095238095239</v>
      </c>
    </row>
    <row r="51" spans="1:4" x14ac:dyDescent="0.35">
      <c r="A51" s="10"/>
      <c r="B51" s="10"/>
      <c r="C51" s="1" t="s">
        <v>3</v>
      </c>
      <c r="D51" s="4">
        <v>0.23610085510180559</v>
      </c>
    </row>
    <row r="52" spans="1:4" x14ac:dyDescent="0.35">
      <c r="A52" s="10"/>
      <c r="B52" s="10"/>
      <c r="C52" s="1" t="s">
        <v>4</v>
      </c>
      <c r="D52" s="4">
        <v>0.1854387755102041</v>
      </c>
    </row>
    <row r="53" spans="1:4" x14ac:dyDescent="0.35">
      <c r="A53" s="10">
        <f t="shared" ref="A53" si="16">2025-B53</f>
        <v>18</v>
      </c>
      <c r="B53" s="10">
        <v>2007</v>
      </c>
      <c r="C53" s="1" t="s">
        <v>2</v>
      </c>
      <c r="D53" s="4">
        <v>0.29302083333333329</v>
      </c>
    </row>
    <row r="54" spans="1:4" x14ac:dyDescent="0.35">
      <c r="A54" s="10"/>
      <c r="B54" s="10"/>
      <c r="C54" s="1" t="s">
        <v>3</v>
      </c>
      <c r="D54" s="4">
        <v>0.3638095237871149</v>
      </c>
    </row>
    <row r="55" spans="1:4" x14ac:dyDescent="0.35">
      <c r="A55" s="10"/>
      <c r="B55" s="10"/>
      <c r="C55" s="1" t="s">
        <v>4</v>
      </c>
      <c r="D55" s="4">
        <v>1.0404166667500001</v>
      </c>
    </row>
    <row r="56" spans="1:4" x14ac:dyDescent="0.35">
      <c r="A56" s="10">
        <f t="shared" ref="A56" si="17">2025-B56</f>
        <v>17</v>
      </c>
      <c r="B56" s="10">
        <v>2008</v>
      </c>
      <c r="C56" s="1" t="s">
        <v>2</v>
      </c>
      <c r="D56" s="4">
        <v>0.35310975609756101</v>
      </c>
    </row>
    <row r="57" spans="1:4" x14ac:dyDescent="0.35">
      <c r="A57" s="10"/>
      <c r="B57" s="10"/>
      <c r="C57" s="1" t="s">
        <v>3</v>
      </c>
      <c r="D57" s="4">
        <v>0.36522408963585429</v>
      </c>
    </row>
    <row r="58" spans="1:4" x14ac:dyDescent="0.35">
      <c r="A58" s="10"/>
      <c r="B58" s="10"/>
      <c r="C58" s="1" t="s">
        <v>4</v>
      </c>
      <c r="D58" s="4">
        <v>0.46452380957142853</v>
      </c>
    </row>
    <row r="59" spans="1:4" x14ac:dyDescent="0.35">
      <c r="A59" s="10">
        <f t="shared" ref="A59" si="18">2025-B59</f>
        <v>16</v>
      </c>
      <c r="B59" s="10">
        <v>2009</v>
      </c>
      <c r="C59" s="1" t="s">
        <v>2</v>
      </c>
      <c r="D59" s="4">
        <v>0.23919270833333331</v>
      </c>
    </row>
    <row r="60" spans="1:4" x14ac:dyDescent="0.35">
      <c r="A60" s="10"/>
      <c r="B60" s="10"/>
      <c r="C60" s="1" t="s">
        <v>3</v>
      </c>
      <c r="D60" s="4">
        <v>0.28479621543085881</v>
      </c>
    </row>
    <row r="61" spans="1:4" x14ac:dyDescent="0.35">
      <c r="A61" s="10"/>
      <c r="B61" s="10"/>
      <c r="C61" s="1" t="s">
        <v>4</v>
      </c>
      <c r="D61" s="4">
        <v>0.35291666662499999</v>
      </c>
    </row>
    <row r="62" spans="1:4" x14ac:dyDescent="0.35">
      <c r="A62" s="10">
        <f t="shared" ref="A62" si="19">2025-B62</f>
        <v>15</v>
      </c>
      <c r="B62" s="10">
        <v>2010</v>
      </c>
      <c r="C62" s="1" t="s">
        <v>2</v>
      </c>
      <c r="D62" s="4">
        <v>0.27287763712658231</v>
      </c>
    </row>
    <row r="63" spans="1:4" x14ac:dyDescent="0.35">
      <c r="A63" s="10"/>
      <c r="B63" s="10"/>
      <c r="C63" s="1" t="s">
        <v>3</v>
      </c>
      <c r="D63" s="4">
        <v>0.34036708860665732</v>
      </c>
    </row>
    <row r="64" spans="1:4" x14ac:dyDescent="0.35">
      <c r="A64" s="10"/>
      <c r="B64" s="10"/>
      <c r="C64" s="1" t="s">
        <v>4</v>
      </c>
      <c r="D64" s="4">
        <v>0.53983333331666672</v>
      </c>
    </row>
    <row r="65" spans="1:4" x14ac:dyDescent="0.35">
      <c r="A65" s="10">
        <f t="shared" ref="A65" si="20">2025-B65</f>
        <v>14</v>
      </c>
      <c r="B65" s="10">
        <v>2011</v>
      </c>
      <c r="C65" s="1" t="s">
        <v>2</v>
      </c>
      <c r="D65" s="4">
        <v>0.26528023598672562</v>
      </c>
    </row>
    <row r="66" spans="1:4" x14ac:dyDescent="0.35">
      <c r="A66" s="10"/>
      <c r="B66" s="10"/>
      <c r="C66" s="1" t="s">
        <v>3</v>
      </c>
      <c r="D66" s="4">
        <v>0.27327681992273312</v>
      </c>
    </row>
    <row r="67" spans="1:4" x14ac:dyDescent="0.35">
      <c r="A67" s="10"/>
      <c r="B67" s="10"/>
      <c r="C67" s="1" t="s">
        <v>4</v>
      </c>
      <c r="D67" s="4">
        <v>0.78979674798373989</v>
      </c>
    </row>
    <row r="68" spans="1:4" x14ac:dyDescent="0.35">
      <c r="A68" s="10">
        <f t="shared" ref="A68" si="21">2025-B68</f>
        <v>13</v>
      </c>
      <c r="B68" s="10">
        <v>2012</v>
      </c>
      <c r="C68" s="1" t="s">
        <v>2</v>
      </c>
      <c r="D68" s="4">
        <v>0.24220900900960959</v>
      </c>
    </row>
    <row r="69" spans="1:4" x14ac:dyDescent="0.35">
      <c r="A69" s="10"/>
      <c r="B69" s="10"/>
      <c r="C69" s="1" t="s">
        <v>3</v>
      </c>
      <c r="D69" s="4">
        <v>0.26602326229781298</v>
      </c>
    </row>
    <row r="70" spans="1:4" x14ac:dyDescent="0.35">
      <c r="A70" s="10"/>
      <c r="B70" s="10"/>
      <c r="C70" s="1" t="s">
        <v>4</v>
      </c>
      <c r="D70" s="4">
        <v>0.52440251575471697</v>
      </c>
    </row>
    <row r="71" spans="1:4" x14ac:dyDescent="0.35">
      <c r="A71" s="10">
        <f t="shared" ref="A71" si="22">2025-B71</f>
        <v>12</v>
      </c>
      <c r="B71" s="10">
        <v>2013</v>
      </c>
      <c r="C71" s="1" t="s">
        <v>2</v>
      </c>
      <c r="D71" s="4">
        <v>0.22362522522522521</v>
      </c>
    </row>
    <row r="72" spans="1:4" x14ac:dyDescent="0.35">
      <c r="A72" s="10"/>
      <c r="B72" s="10"/>
      <c r="C72" s="1" t="s">
        <v>3</v>
      </c>
      <c r="D72" s="4">
        <v>0.2269190226912832</v>
      </c>
    </row>
    <row r="73" spans="1:4" x14ac:dyDescent="0.35">
      <c r="A73" s="10"/>
      <c r="B73" s="10"/>
      <c r="C73" s="1" t="s">
        <v>4</v>
      </c>
      <c r="D73" s="4">
        <v>0.53335858588888896</v>
      </c>
    </row>
    <row r="74" spans="1:4" x14ac:dyDescent="0.35">
      <c r="A74" s="10">
        <f t="shared" ref="A74" si="23">2025-B74</f>
        <v>11</v>
      </c>
      <c r="B74" s="10">
        <v>2014</v>
      </c>
      <c r="C74" s="1" t="s">
        <v>2</v>
      </c>
      <c r="D74" s="4">
        <v>0.21342898550608691</v>
      </c>
    </row>
    <row r="75" spans="1:4" x14ac:dyDescent="0.35">
      <c r="A75" s="10"/>
      <c r="B75" s="10"/>
      <c r="C75" s="1" t="s">
        <v>3</v>
      </c>
      <c r="D75" s="4">
        <v>0.21560878823286869</v>
      </c>
    </row>
    <row r="76" spans="1:4" x14ac:dyDescent="0.35">
      <c r="A76" s="10"/>
      <c r="B76" s="10"/>
      <c r="C76" s="1" t="s">
        <v>4</v>
      </c>
      <c r="D76" s="4">
        <v>0.42295238094761911</v>
      </c>
    </row>
    <row r="77" spans="1:4" x14ac:dyDescent="0.35">
      <c r="A77" s="10">
        <f t="shared" ref="A77" si="24">2025-B77</f>
        <v>10</v>
      </c>
      <c r="B77" s="10">
        <v>2015</v>
      </c>
      <c r="C77" s="1" t="s">
        <v>2</v>
      </c>
      <c r="D77" s="4">
        <v>0.16981214421252369</v>
      </c>
    </row>
    <row r="78" spans="1:4" x14ac:dyDescent="0.35">
      <c r="A78" s="10"/>
      <c r="B78" s="10"/>
      <c r="C78" s="1" t="s">
        <v>3</v>
      </c>
      <c r="D78" s="4">
        <v>0.19161345827228049</v>
      </c>
    </row>
    <row r="79" spans="1:4" x14ac:dyDescent="0.35">
      <c r="A79" s="10"/>
      <c r="B79" s="10"/>
      <c r="C79" s="1" t="s">
        <v>4</v>
      </c>
      <c r="D79" s="4">
        <v>0.41349999999999998</v>
      </c>
    </row>
    <row r="80" spans="1:4" x14ac:dyDescent="0.35">
      <c r="A80" s="10">
        <f t="shared" ref="A80" si="25">2025-B80</f>
        <v>9</v>
      </c>
      <c r="B80" s="10">
        <v>2016</v>
      </c>
      <c r="C80" s="1" t="s">
        <v>2</v>
      </c>
      <c r="D80" s="4">
        <v>0.1708394758386568</v>
      </c>
    </row>
    <row r="81" spans="1:4" x14ac:dyDescent="0.35">
      <c r="A81" s="10"/>
      <c r="B81" s="10"/>
      <c r="C81" s="1" t="s">
        <v>3</v>
      </c>
      <c r="D81" s="4">
        <v>0.18117570396305291</v>
      </c>
    </row>
    <row r="82" spans="1:4" x14ac:dyDescent="0.35">
      <c r="A82" s="10"/>
      <c r="B82" s="10"/>
      <c r="C82" s="1" t="s">
        <v>4</v>
      </c>
      <c r="D82" s="4">
        <v>0.47871794875641033</v>
      </c>
    </row>
    <row r="83" spans="1:4" x14ac:dyDescent="0.35">
      <c r="A83" s="10">
        <f t="shared" ref="A83" si="26">2025-B83</f>
        <v>8</v>
      </c>
      <c r="B83" s="10">
        <v>2017</v>
      </c>
      <c r="C83" s="1" t="s">
        <v>2</v>
      </c>
      <c r="D83" s="4">
        <v>0.1515622489951807</v>
      </c>
    </row>
    <row r="84" spans="1:4" x14ac:dyDescent="0.35">
      <c r="A84" s="10"/>
      <c r="B84" s="10"/>
      <c r="C84" s="1" t="s">
        <v>3</v>
      </c>
      <c r="D84" s="4">
        <v>0.17941119783793649</v>
      </c>
    </row>
    <row r="85" spans="1:4" x14ac:dyDescent="0.35">
      <c r="A85" s="10"/>
      <c r="B85" s="10"/>
      <c r="C85" s="1" t="s">
        <v>4</v>
      </c>
      <c r="D85" s="4">
        <v>0.30003333333333332</v>
      </c>
    </row>
    <row r="86" spans="1:4" x14ac:dyDescent="0.35">
      <c r="A86" s="10">
        <f t="shared" ref="A86" si="27">2025-B86</f>
        <v>7</v>
      </c>
      <c r="B86" s="10">
        <v>2018</v>
      </c>
      <c r="C86" s="1" t="s">
        <v>2</v>
      </c>
      <c r="D86" s="4">
        <v>0.17475297619047619</v>
      </c>
    </row>
    <row r="87" spans="1:4" x14ac:dyDescent="0.35">
      <c r="A87" s="10"/>
      <c r="B87" s="10"/>
      <c r="C87" s="1" t="s">
        <v>3</v>
      </c>
      <c r="D87" s="4">
        <v>0.1745292774157905</v>
      </c>
    </row>
    <row r="88" spans="1:4" x14ac:dyDescent="0.35">
      <c r="A88" s="10"/>
      <c r="B88" s="10"/>
      <c r="C88" s="1" t="s">
        <v>4</v>
      </c>
      <c r="D88" s="4">
        <v>0.34701877934741782</v>
      </c>
    </row>
    <row r="89" spans="1:4" x14ac:dyDescent="0.35">
      <c r="A89" s="10">
        <f t="shared" ref="A89" si="28">2025-B89</f>
        <v>6</v>
      </c>
      <c r="B89" s="10">
        <v>2019</v>
      </c>
      <c r="C89" s="1" t="s">
        <v>2</v>
      </c>
      <c r="D89" s="4">
        <v>0.16609761339215021</v>
      </c>
    </row>
    <row r="90" spans="1:4" x14ac:dyDescent="0.35">
      <c r="A90" s="10"/>
      <c r="B90" s="10"/>
      <c r="C90" s="1" t="s">
        <v>3</v>
      </c>
      <c r="D90" s="4">
        <v>0.19829991412623441</v>
      </c>
    </row>
    <row r="91" spans="1:4" x14ac:dyDescent="0.35">
      <c r="A91" s="10"/>
      <c r="B91" s="10"/>
      <c r="C91" s="1" t="s">
        <v>4</v>
      </c>
      <c r="D91" s="4">
        <v>0.26812984496124032</v>
      </c>
    </row>
    <row r="92" spans="1:4" x14ac:dyDescent="0.35">
      <c r="A92" s="10">
        <f t="shared" ref="A92" si="29">2025-B92</f>
        <v>5</v>
      </c>
      <c r="B92" s="10">
        <v>2020</v>
      </c>
      <c r="C92" s="1" t="s">
        <v>2</v>
      </c>
      <c r="D92" s="4">
        <v>0.15456546826453621</v>
      </c>
    </row>
    <row r="93" spans="1:4" x14ac:dyDescent="0.35">
      <c r="A93" s="10"/>
      <c r="B93" s="10"/>
      <c r="C93" s="1" t="s">
        <v>3</v>
      </c>
      <c r="D93" s="4">
        <v>0.18787862679955711</v>
      </c>
    </row>
    <row r="94" spans="1:4" x14ac:dyDescent="0.35">
      <c r="A94" s="10"/>
      <c r="B94" s="10"/>
      <c r="C94" s="1" t="s">
        <v>4</v>
      </c>
      <c r="D94" s="4">
        <v>0.21177777777777779</v>
      </c>
    </row>
    <row r="95" spans="1:4" x14ac:dyDescent="0.35">
      <c r="A95" s="10">
        <f t="shared" ref="A95" si="30">2025-B95</f>
        <v>4</v>
      </c>
      <c r="B95" s="10">
        <v>2021</v>
      </c>
      <c r="C95" s="1" t="s">
        <v>2</v>
      </c>
      <c r="D95" s="4">
        <v>0.1556950405340963</v>
      </c>
    </row>
    <row r="96" spans="1:4" x14ac:dyDescent="0.35">
      <c r="A96" s="10"/>
      <c r="B96" s="10"/>
      <c r="C96" s="1" t="s">
        <v>3</v>
      </c>
      <c r="D96" s="4">
        <v>0.16805757514895889</v>
      </c>
    </row>
    <row r="97" spans="1:4" x14ac:dyDescent="0.35">
      <c r="A97" s="10"/>
      <c r="B97" s="10"/>
      <c r="C97" s="1" t="s">
        <v>4</v>
      </c>
      <c r="D97" s="4">
        <v>0.1888480392156863</v>
      </c>
    </row>
    <row r="98" spans="1:4" x14ac:dyDescent="0.35">
      <c r="A98" s="10">
        <f t="shared" ref="A98" si="31">2025-B98</f>
        <v>3</v>
      </c>
      <c r="B98" s="10">
        <v>2022</v>
      </c>
      <c r="C98" s="1" t="s">
        <v>2</v>
      </c>
      <c r="D98" s="4">
        <v>0.13283053300865799</v>
      </c>
    </row>
    <row r="99" spans="1:4" x14ac:dyDescent="0.35">
      <c r="A99" s="10"/>
      <c r="B99" s="10"/>
      <c r="C99" s="1" t="s">
        <v>3</v>
      </c>
      <c r="D99" s="4">
        <v>0.139450311805384</v>
      </c>
    </row>
    <row r="100" spans="1:4" x14ac:dyDescent="0.35">
      <c r="A100" s="10"/>
      <c r="B100" s="10"/>
      <c r="C100" s="1" t="s">
        <v>4</v>
      </c>
      <c r="D100" s="4">
        <v>0.1763637621023513</v>
      </c>
    </row>
    <row r="101" spans="1:4" x14ac:dyDescent="0.35">
      <c r="A101" s="10">
        <f t="shared" ref="A101" si="32">2025-B101</f>
        <v>2</v>
      </c>
      <c r="B101" s="10">
        <v>2023</v>
      </c>
      <c r="C101" s="1" t="s">
        <v>2</v>
      </c>
      <c r="D101" s="4">
        <v>0.11888765088207991</v>
      </c>
    </row>
    <row r="102" spans="1:4" x14ac:dyDescent="0.35">
      <c r="A102" s="10"/>
      <c r="B102" s="10"/>
      <c r="C102" s="1" t="s">
        <v>3</v>
      </c>
      <c r="D102" s="4">
        <v>0.11699392163247591</v>
      </c>
    </row>
    <row r="103" spans="1:4" x14ac:dyDescent="0.35">
      <c r="A103" s="10"/>
      <c r="B103" s="10"/>
      <c r="C103" s="1" t="s">
        <v>4</v>
      </c>
      <c r="D103" s="4">
        <v>0.1446875</v>
      </c>
    </row>
    <row r="104" spans="1:4" x14ac:dyDescent="0.35">
      <c r="A104" s="10">
        <f t="shared" ref="A104" si="33">2025-B104</f>
        <v>1</v>
      </c>
      <c r="B104" s="10">
        <v>2024</v>
      </c>
      <c r="C104" s="1" t="s">
        <v>2</v>
      </c>
      <c r="D104" s="4">
        <v>7.4705882352941178E-2</v>
      </c>
    </row>
    <row r="105" spans="1:4" x14ac:dyDescent="0.35">
      <c r="A105" s="10"/>
      <c r="B105" s="10"/>
      <c r="C105" s="1" t="s">
        <v>3</v>
      </c>
      <c r="D105" s="4">
        <v>0.1047497879558948</v>
      </c>
    </row>
    <row r="106" spans="1:4" x14ac:dyDescent="0.35">
      <c r="A106" s="10"/>
      <c r="B106" s="10"/>
      <c r="C106" s="1" t="s">
        <v>4</v>
      </c>
      <c r="D106" s="4">
        <v>0.11782608695652171</v>
      </c>
    </row>
  </sheetData>
  <mergeCells count="70">
    <mergeCell ref="B8:B10"/>
    <mergeCell ref="B26:B28"/>
    <mergeCell ref="B2:B4"/>
    <mergeCell ref="B17:B19"/>
    <mergeCell ref="B20:B22"/>
    <mergeCell ref="B5:B7"/>
    <mergeCell ref="B23:B25"/>
    <mergeCell ref="B14:B16"/>
    <mergeCell ref="B11:B13"/>
    <mergeCell ref="B65:B67"/>
    <mergeCell ref="B41:B43"/>
    <mergeCell ref="B50:B52"/>
    <mergeCell ref="B74:B76"/>
    <mergeCell ref="B56:B58"/>
    <mergeCell ref="B53:B55"/>
    <mergeCell ref="B59:B61"/>
    <mergeCell ref="B35:B37"/>
    <mergeCell ref="B29:B31"/>
    <mergeCell ref="B47:B49"/>
    <mergeCell ref="B32:B34"/>
    <mergeCell ref="B38:B40"/>
    <mergeCell ref="B62:B64"/>
    <mergeCell ref="B68:B70"/>
    <mergeCell ref="B44:B46"/>
    <mergeCell ref="B104:B106"/>
    <mergeCell ref="B80:B82"/>
    <mergeCell ref="B95:B97"/>
    <mergeCell ref="B71:B73"/>
    <mergeCell ref="B89:B91"/>
    <mergeCell ref="B98:B100"/>
    <mergeCell ref="B83:B85"/>
    <mergeCell ref="B86:B88"/>
    <mergeCell ref="B92:B94"/>
    <mergeCell ref="B77:B79"/>
    <mergeCell ref="B101:B103"/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9"/>
  <sheetViews>
    <sheetView workbookViewId="0">
      <selection activeCell="E1" sqref="E1:E1048576"/>
    </sheetView>
  </sheetViews>
  <sheetFormatPr defaultRowHeight="14.5" x14ac:dyDescent="0.35"/>
  <cols>
    <col min="1" max="1" width="20.36328125" customWidth="1"/>
    <col min="2" max="2" width="20.453125" customWidth="1"/>
    <col min="3" max="3" width="13.36328125" customWidth="1"/>
    <col min="4" max="4" width="20.7265625" customWidth="1"/>
  </cols>
  <sheetData>
    <row r="1" spans="1:4" x14ac:dyDescent="0.35">
      <c r="A1" s="9" t="s">
        <v>8</v>
      </c>
      <c r="B1" s="1" t="s">
        <v>0</v>
      </c>
      <c r="C1" s="1" t="s">
        <v>1</v>
      </c>
      <c r="D1" s="5" t="s">
        <v>9</v>
      </c>
    </row>
    <row r="2" spans="1:4" x14ac:dyDescent="0.35">
      <c r="A2" s="10">
        <f>2025-B2</f>
        <v>35</v>
      </c>
      <c r="B2" s="10">
        <v>1990</v>
      </c>
      <c r="C2" s="1" t="s">
        <v>3</v>
      </c>
      <c r="D2" s="4">
        <v>0.96769230769230763</v>
      </c>
    </row>
    <row r="3" spans="1:4" x14ac:dyDescent="0.35">
      <c r="A3" s="10"/>
      <c r="B3" s="10"/>
      <c r="C3" s="1" t="s">
        <v>4</v>
      </c>
      <c r="D3" s="4">
        <v>0.54400000000000004</v>
      </c>
    </row>
    <row r="4" spans="1:4" x14ac:dyDescent="0.35">
      <c r="A4" s="10"/>
      <c r="B4" s="10"/>
      <c r="C4" s="1" t="s">
        <v>5</v>
      </c>
      <c r="D4" s="4">
        <v>0.21333333333333329</v>
      </c>
    </row>
    <row r="5" spans="1:4" x14ac:dyDescent="0.35">
      <c r="A5" s="10"/>
      <c r="B5" s="10"/>
      <c r="C5" s="1" t="s">
        <v>6</v>
      </c>
      <c r="D5" s="4">
        <v>1.195384615</v>
      </c>
    </row>
    <row r="6" spans="1:4" x14ac:dyDescent="0.35">
      <c r="A6" s="10">
        <f>2025-B6</f>
        <v>34</v>
      </c>
      <c r="B6" s="10">
        <v>1991</v>
      </c>
      <c r="C6" s="1" t="s">
        <v>3</v>
      </c>
      <c r="D6" s="4">
        <v>1.5061538459999999</v>
      </c>
    </row>
    <row r="7" spans="1:4" x14ac:dyDescent="0.35">
      <c r="A7" s="10"/>
      <c r="B7" s="10"/>
      <c r="C7" s="1" t="s">
        <v>4</v>
      </c>
      <c r="D7" s="4">
        <v>0.2566666666666666</v>
      </c>
    </row>
    <row r="8" spans="1:4" x14ac:dyDescent="0.35">
      <c r="A8" s="10"/>
      <c r="B8" s="10"/>
      <c r="C8" s="1" t="s">
        <v>7</v>
      </c>
      <c r="D8" s="4">
        <v>1</v>
      </c>
    </row>
    <row r="9" spans="1:4" x14ac:dyDescent="0.35">
      <c r="A9" s="10"/>
      <c r="B9" s="10"/>
      <c r="C9" s="1" t="s">
        <v>5</v>
      </c>
      <c r="D9" s="4">
        <v>0.47333333333333327</v>
      </c>
    </row>
    <row r="10" spans="1:4" x14ac:dyDescent="0.35">
      <c r="A10" s="10"/>
      <c r="B10" s="10"/>
      <c r="C10" s="1" t="s">
        <v>6</v>
      </c>
      <c r="D10" s="4">
        <v>0.52923076899999999</v>
      </c>
    </row>
    <row r="11" spans="1:4" x14ac:dyDescent="0.35">
      <c r="A11" s="10">
        <f>2025-B11</f>
        <v>33</v>
      </c>
      <c r="B11" s="10">
        <v>1992</v>
      </c>
      <c r="C11" s="1" t="s">
        <v>3</v>
      </c>
      <c r="D11" s="4">
        <v>1.1107692309999999</v>
      </c>
    </row>
    <row r="12" spans="1:4" x14ac:dyDescent="0.35">
      <c r="A12" s="10"/>
      <c r="B12" s="10"/>
      <c r="C12" s="1" t="s">
        <v>4</v>
      </c>
      <c r="D12" s="4">
        <v>0.57999999999999996</v>
      </c>
    </row>
    <row r="13" spans="1:4" x14ac:dyDescent="0.35">
      <c r="A13" s="10"/>
      <c r="B13" s="10"/>
      <c r="C13" s="1" t="s">
        <v>5</v>
      </c>
      <c r="D13" s="4">
        <v>0.51692307692307693</v>
      </c>
    </row>
    <row r="14" spans="1:4" x14ac:dyDescent="0.35">
      <c r="A14" s="10"/>
      <c r="B14" s="10"/>
      <c r="C14" s="1" t="s">
        <v>6</v>
      </c>
      <c r="D14" s="4">
        <v>0.86615384600000001</v>
      </c>
    </row>
    <row r="15" spans="1:4" x14ac:dyDescent="0.35">
      <c r="A15" s="10">
        <f>2025-B15</f>
        <v>32</v>
      </c>
      <c r="B15" s="10">
        <v>1993</v>
      </c>
      <c r="C15" s="1" t="s">
        <v>3</v>
      </c>
      <c r="D15" s="4">
        <v>0.83307692307692305</v>
      </c>
    </row>
    <row r="16" spans="1:4" x14ac:dyDescent="0.35">
      <c r="A16" s="10"/>
      <c r="B16" s="10"/>
      <c r="C16" s="1" t="s">
        <v>4</v>
      </c>
      <c r="D16" s="4">
        <v>0.502</v>
      </c>
    </row>
    <row r="17" spans="1:4" x14ac:dyDescent="0.35">
      <c r="A17" s="10"/>
      <c r="B17" s="10"/>
      <c r="C17" s="1" t="s">
        <v>5</v>
      </c>
      <c r="D17" s="4">
        <v>0.32</v>
      </c>
    </row>
    <row r="18" spans="1:4" x14ac:dyDescent="0.35">
      <c r="A18" s="10"/>
      <c r="B18" s="10"/>
      <c r="C18" s="1" t="s">
        <v>6</v>
      </c>
      <c r="D18" s="4">
        <v>1.296923077</v>
      </c>
    </row>
    <row r="19" spans="1:4" x14ac:dyDescent="0.35">
      <c r="A19" s="10">
        <f>2025-B19</f>
        <v>31</v>
      </c>
      <c r="B19" s="10">
        <v>1994</v>
      </c>
      <c r="C19" s="1" t="s">
        <v>3</v>
      </c>
      <c r="D19" s="4">
        <v>0.69252747271428572</v>
      </c>
    </row>
    <row r="20" spans="1:4" x14ac:dyDescent="0.35">
      <c r="A20" s="10"/>
      <c r="B20" s="10"/>
      <c r="C20" s="1" t="s">
        <v>4</v>
      </c>
      <c r="D20" s="4">
        <v>0.38</v>
      </c>
    </row>
    <row r="21" spans="1:4" x14ac:dyDescent="0.35">
      <c r="A21" s="10"/>
      <c r="B21" s="10"/>
      <c r="C21" s="1" t="s">
        <v>5</v>
      </c>
      <c r="D21" s="4">
        <v>0.4876923076923077</v>
      </c>
    </row>
    <row r="22" spans="1:4" x14ac:dyDescent="0.35">
      <c r="A22" s="10"/>
      <c r="B22" s="10"/>
      <c r="C22" s="1" t="s">
        <v>6</v>
      </c>
      <c r="D22" s="4">
        <v>0.99897435902564091</v>
      </c>
    </row>
    <row r="23" spans="1:4" x14ac:dyDescent="0.35">
      <c r="A23" s="10">
        <f>2025-B23</f>
        <v>30</v>
      </c>
      <c r="B23" s="10">
        <v>1995</v>
      </c>
      <c r="C23" s="1" t="s">
        <v>3</v>
      </c>
      <c r="D23" s="4">
        <v>0.68507692316923074</v>
      </c>
    </row>
    <row r="24" spans="1:4" x14ac:dyDescent="0.35">
      <c r="A24" s="10"/>
      <c r="B24" s="10"/>
      <c r="C24" s="1" t="s">
        <v>4</v>
      </c>
      <c r="D24" s="4">
        <v>0.6333333333333333</v>
      </c>
    </row>
    <row r="25" spans="1:4" x14ac:dyDescent="0.35">
      <c r="A25" s="10"/>
      <c r="B25" s="10"/>
      <c r="C25" s="1" t="s">
        <v>5</v>
      </c>
      <c r="D25" s="4">
        <v>0.73833333333333329</v>
      </c>
    </row>
    <row r="26" spans="1:4" x14ac:dyDescent="0.35">
      <c r="A26" s="10"/>
      <c r="B26" s="10"/>
      <c r="C26" s="1" t="s">
        <v>6</v>
      </c>
      <c r="D26" s="4">
        <v>0.92076923049999992</v>
      </c>
    </row>
    <row r="27" spans="1:4" x14ac:dyDescent="0.35">
      <c r="A27" s="10">
        <f>2025-B27</f>
        <v>29</v>
      </c>
      <c r="B27" s="10">
        <v>1996</v>
      </c>
      <c r="C27" s="1" t="s">
        <v>3</v>
      </c>
      <c r="D27" s="4">
        <v>0.7534807690961538</v>
      </c>
    </row>
    <row r="28" spans="1:4" x14ac:dyDescent="0.35">
      <c r="A28" s="10"/>
      <c r="B28" s="10"/>
      <c r="C28" s="1" t="s">
        <v>4</v>
      </c>
      <c r="D28" s="4">
        <v>0.8107692307692308</v>
      </c>
    </row>
    <row r="29" spans="1:4" x14ac:dyDescent="0.35">
      <c r="A29" s="10"/>
      <c r="B29" s="10"/>
      <c r="C29" s="1" t="s">
        <v>5</v>
      </c>
      <c r="D29" s="4">
        <v>0.52573076923076922</v>
      </c>
    </row>
    <row r="30" spans="1:4" x14ac:dyDescent="0.35">
      <c r="A30" s="10"/>
      <c r="B30" s="10"/>
      <c r="C30" s="1" t="s">
        <v>6</v>
      </c>
      <c r="D30" s="4">
        <v>0.80961538450000003</v>
      </c>
    </row>
    <row r="31" spans="1:4" x14ac:dyDescent="0.35">
      <c r="A31" s="10">
        <f>2025-B31</f>
        <v>28</v>
      </c>
      <c r="B31" s="10">
        <v>1997</v>
      </c>
      <c r="C31" s="1" t="s">
        <v>3</v>
      </c>
      <c r="D31" s="4">
        <v>0.83423076918131867</v>
      </c>
    </row>
    <row r="32" spans="1:4" x14ac:dyDescent="0.35">
      <c r="A32" s="10"/>
      <c r="B32" s="10"/>
      <c r="C32" s="1" t="s">
        <v>4</v>
      </c>
      <c r="D32" s="4">
        <v>1.5323076920000001</v>
      </c>
    </row>
    <row r="33" spans="1:4" x14ac:dyDescent="0.35">
      <c r="A33" s="10"/>
      <c r="B33" s="10"/>
      <c r="C33" s="1" t="s">
        <v>7</v>
      </c>
      <c r="D33" s="4">
        <v>0.82153846153846155</v>
      </c>
    </row>
    <row r="34" spans="1:4" x14ac:dyDescent="0.35">
      <c r="A34" s="10"/>
      <c r="B34" s="10"/>
      <c r="C34" s="1" t="s">
        <v>5</v>
      </c>
      <c r="D34" s="4">
        <v>0.38862179487179482</v>
      </c>
    </row>
    <row r="35" spans="1:4" x14ac:dyDescent="0.35">
      <c r="A35" s="10"/>
      <c r="B35" s="10"/>
      <c r="C35" s="1" t="s">
        <v>6</v>
      </c>
      <c r="D35" s="4">
        <v>0.77692307683333339</v>
      </c>
    </row>
    <row r="36" spans="1:4" x14ac:dyDescent="0.35">
      <c r="A36" s="10">
        <f>2025-B36</f>
        <v>27</v>
      </c>
      <c r="B36" s="10">
        <v>1998</v>
      </c>
      <c r="C36" s="1" t="s">
        <v>3</v>
      </c>
      <c r="D36" s="4">
        <v>1.492307692</v>
      </c>
    </row>
    <row r="37" spans="1:4" x14ac:dyDescent="0.35">
      <c r="A37" s="10"/>
      <c r="B37" s="10"/>
      <c r="C37" s="1" t="s">
        <v>4</v>
      </c>
      <c r="D37" s="4">
        <v>0.27999999999999992</v>
      </c>
    </row>
    <row r="38" spans="1:4" x14ac:dyDescent="0.35">
      <c r="A38" s="10"/>
      <c r="B38" s="10"/>
      <c r="C38" s="1" t="s">
        <v>7</v>
      </c>
      <c r="D38" s="4">
        <v>0.98461538461538478</v>
      </c>
    </row>
    <row r="39" spans="1:4" x14ac:dyDescent="0.35">
      <c r="A39" s="10"/>
      <c r="B39" s="10"/>
      <c r="C39" s="1" t="s">
        <v>5</v>
      </c>
      <c r="D39" s="4">
        <v>0.13846153846153841</v>
      </c>
    </row>
    <row r="40" spans="1:4" x14ac:dyDescent="0.35">
      <c r="A40" s="10"/>
      <c r="B40" s="10"/>
      <c r="C40" s="1" t="s">
        <v>6</v>
      </c>
      <c r="D40" s="4">
        <v>0.5853846152692308</v>
      </c>
    </row>
    <row r="41" spans="1:4" x14ac:dyDescent="0.35">
      <c r="A41" s="10">
        <f>2025-B41</f>
        <v>26</v>
      </c>
      <c r="B41" s="10">
        <v>1999</v>
      </c>
      <c r="C41" s="1" t="s">
        <v>3</v>
      </c>
      <c r="D41" s="4">
        <v>0.78416153850000003</v>
      </c>
    </row>
    <row r="42" spans="1:4" x14ac:dyDescent="0.35">
      <c r="A42" s="10"/>
      <c r="B42" s="10"/>
      <c r="C42" s="1" t="s">
        <v>4</v>
      </c>
      <c r="D42" s="4">
        <v>0.45333333333333331</v>
      </c>
    </row>
    <row r="43" spans="1:4" x14ac:dyDescent="0.35">
      <c r="A43" s="10"/>
      <c r="B43" s="10"/>
      <c r="C43" s="1" t="s">
        <v>5</v>
      </c>
      <c r="D43" s="4">
        <v>0.53333333333333333</v>
      </c>
    </row>
    <row r="44" spans="1:4" x14ac:dyDescent="0.35">
      <c r="A44" s="10"/>
      <c r="B44" s="10"/>
      <c r="C44" s="1" t="s">
        <v>6</v>
      </c>
      <c r="D44" s="4">
        <v>1.5215384620000001</v>
      </c>
    </row>
    <row r="45" spans="1:4" x14ac:dyDescent="0.35">
      <c r="A45" s="10">
        <f>2025-B45</f>
        <v>25</v>
      </c>
      <c r="B45" s="10">
        <v>2000</v>
      </c>
      <c r="C45" s="1" t="s">
        <v>3</v>
      </c>
      <c r="D45" s="4">
        <v>0.83665934066300363</v>
      </c>
    </row>
    <row r="46" spans="1:4" x14ac:dyDescent="0.35">
      <c r="A46" s="10"/>
      <c r="B46" s="10"/>
      <c r="C46" s="1" t="s">
        <v>4</v>
      </c>
      <c r="D46" s="4">
        <v>0.57692307692307687</v>
      </c>
    </row>
    <row r="47" spans="1:4" x14ac:dyDescent="0.35">
      <c r="A47" s="10"/>
      <c r="B47" s="10"/>
      <c r="C47" s="1" t="s">
        <v>7</v>
      </c>
      <c r="D47" s="4">
        <v>0.47520000000000001</v>
      </c>
    </row>
    <row r="48" spans="1:4" x14ac:dyDescent="0.35">
      <c r="A48" s="10"/>
      <c r="B48" s="10"/>
      <c r="C48" s="1" t="s">
        <v>5</v>
      </c>
      <c r="D48" s="4">
        <v>0.89007692307692299</v>
      </c>
    </row>
    <row r="49" spans="1:4" x14ac:dyDescent="0.35">
      <c r="A49" s="10"/>
      <c r="B49" s="10"/>
      <c r="C49" s="1" t="s">
        <v>6</v>
      </c>
      <c r="D49" s="4">
        <v>0.50923076899999997</v>
      </c>
    </row>
    <row r="50" spans="1:4" x14ac:dyDescent="0.35">
      <c r="A50" s="10">
        <f>2025-B50</f>
        <v>24</v>
      </c>
      <c r="B50" s="10">
        <v>2001</v>
      </c>
      <c r="C50" s="1" t="s">
        <v>3</v>
      </c>
      <c r="D50" s="4">
        <v>0.58858119658119668</v>
      </c>
    </row>
    <row r="51" spans="1:4" x14ac:dyDescent="0.35">
      <c r="A51" s="10"/>
      <c r="B51" s="10"/>
      <c r="C51" s="1" t="s">
        <v>4</v>
      </c>
      <c r="D51" s="4">
        <v>0.46800000000000003</v>
      </c>
    </row>
    <row r="52" spans="1:4" x14ac:dyDescent="0.35">
      <c r="A52" s="10"/>
      <c r="B52" s="10"/>
      <c r="C52" s="1" t="s">
        <v>7</v>
      </c>
      <c r="D52" s="4">
        <v>0.83333333333333337</v>
      </c>
    </row>
    <row r="53" spans="1:4" x14ac:dyDescent="0.35">
      <c r="A53" s="10"/>
      <c r="B53" s="10"/>
      <c r="C53" s="1" t="s">
        <v>5</v>
      </c>
      <c r="D53" s="4">
        <v>0.44076923076923069</v>
      </c>
    </row>
    <row r="54" spans="1:4" x14ac:dyDescent="0.35">
      <c r="A54" s="10"/>
      <c r="B54" s="10"/>
      <c r="C54" s="1" t="s">
        <v>6</v>
      </c>
      <c r="D54" s="4">
        <v>0.95923076949999997</v>
      </c>
    </row>
    <row r="55" spans="1:4" x14ac:dyDescent="0.35">
      <c r="A55" s="10">
        <f>2025-B55</f>
        <v>23</v>
      </c>
      <c r="B55" s="10">
        <v>2002</v>
      </c>
      <c r="C55" s="1" t="s">
        <v>3</v>
      </c>
      <c r="D55" s="4">
        <v>0.78069743587179496</v>
      </c>
    </row>
    <row r="56" spans="1:4" x14ac:dyDescent="0.35">
      <c r="A56" s="10"/>
      <c r="B56" s="10"/>
      <c r="C56" s="1" t="s">
        <v>4</v>
      </c>
      <c r="D56" s="4">
        <v>0.86399999999999999</v>
      </c>
    </row>
    <row r="57" spans="1:4" x14ac:dyDescent="0.35">
      <c r="A57" s="10"/>
      <c r="B57" s="10"/>
      <c r="C57" s="1" t="s">
        <v>7</v>
      </c>
      <c r="D57" s="4">
        <v>0.51030769200000003</v>
      </c>
    </row>
    <row r="58" spans="1:4" x14ac:dyDescent="0.35">
      <c r="A58" s="10"/>
      <c r="B58" s="10"/>
      <c r="C58" s="1" t="s">
        <v>5</v>
      </c>
      <c r="D58" s="4">
        <v>0.31641025641025639</v>
      </c>
    </row>
    <row r="59" spans="1:4" x14ac:dyDescent="0.35">
      <c r="A59" s="10"/>
      <c r="B59" s="10"/>
      <c r="C59" s="1" t="s">
        <v>6</v>
      </c>
      <c r="D59" s="4">
        <v>0.84923076950000009</v>
      </c>
    </row>
    <row r="60" spans="1:4" x14ac:dyDescent="0.35">
      <c r="A60" s="10">
        <f>2025-B60</f>
        <v>22</v>
      </c>
      <c r="B60" s="10">
        <v>2003</v>
      </c>
      <c r="C60" s="1" t="s">
        <v>3</v>
      </c>
      <c r="D60" s="4">
        <v>0.63784615379120879</v>
      </c>
    </row>
    <row r="61" spans="1:4" x14ac:dyDescent="0.35">
      <c r="A61" s="10"/>
      <c r="B61" s="10"/>
      <c r="C61" s="1" t="s">
        <v>4</v>
      </c>
      <c r="D61" s="4">
        <v>0.58711538461538459</v>
      </c>
    </row>
    <row r="62" spans="1:4" x14ac:dyDescent="0.35">
      <c r="A62" s="10"/>
      <c r="B62" s="10"/>
      <c r="C62" s="1" t="s">
        <v>7</v>
      </c>
      <c r="D62" s="4">
        <v>0.183076923</v>
      </c>
    </row>
    <row r="63" spans="1:4" x14ac:dyDescent="0.35">
      <c r="A63" s="10"/>
      <c r="B63" s="10"/>
      <c r="C63" s="1" t="s">
        <v>5</v>
      </c>
      <c r="D63" s="4">
        <v>0.57836538461538467</v>
      </c>
    </row>
    <row r="64" spans="1:4" x14ac:dyDescent="0.35">
      <c r="A64" s="10"/>
      <c r="B64" s="10"/>
      <c r="C64" s="1" t="s">
        <v>6</v>
      </c>
      <c r="D64" s="4">
        <v>0.76256410299999999</v>
      </c>
    </row>
    <row r="65" spans="1:4" x14ac:dyDescent="0.35">
      <c r="A65" s="10">
        <f>2025-B65</f>
        <v>21</v>
      </c>
      <c r="B65" s="10">
        <v>2004</v>
      </c>
      <c r="C65" s="1" t="s">
        <v>3</v>
      </c>
      <c r="D65" s="4">
        <v>0.6760923077538461</v>
      </c>
    </row>
    <row r="66" spans="1:4" x14ac:dyDescent="0.35">
      <c r="A66" s="10"/>
      <c r="B66" s="10"/>
      <c r="C66" s="1" t="s">
        <v>4</v>
      </c>
      <c r="D66" s="4">
        <v>0.55269641025641025</v>
      </c>
    </row>
    <row r="67" spans="1:4" x14ac:dyDescent="0.35">
      <c r="A67" s="10"/>
      <c r="B67" s="10"/>
      <c r="C67" s="1" t="s">
        <v>7</v>
      </c>
      <c r="D67" s="4">
        <v>0.43076923099999997</v>
      </c>
    </row>
    <row r="68" spans="1:4" x14ac:dyDescent="0.35">
      <c r="A68" s="10"/>
      <c r="B68" s="10"/>
      <c r="C68" s="1" t="s">
        <v>5</v>
      </c>
      <c r="D68" s="4">
        <v>0.3437065527065527</v>
      </c>
    </row>
    <row r="69" spans="1:4" x14ac:dyDescent="0.35">
      <c r="A69" s="10"/>
      <c r="B69" s="10"/>
      <c r="C69" s="1" t="s">
        <v>6</v>
      </c>
      <c r="D69" s="4">
        <v>1.157435897333333</v>
      </c>
    </row>
    <row r="70" spans="1:4" x14ac:dyDescent="0.35">
      <c r="A70" s="10">
        <f>2025-B70</f>
        <v>20</v>
      </c>
      <c r="B70" s="10">
        <v>2005</v>
      </c>
      <c r="C70" s="1" t="s">
        <v>3</v>
      </c>
      <c r="D70" s="4">
        <v>0.71651407129455913</v>
      </c>
    </row>
    <row r="71" spans="1:4" x14ac:dyDescent="0.35">
      <c r="A71" s="10"/>
      <c r="B71" s="10"/>
      <c r="C71" s="1" t="s">
        <v>4</v>
      </c>
      <c r="D71" s="4">
        <v>0.49436883629191319</v>
      </c>
    </row>
    <row r="72" spans="1:4" x14ac:dyDescent="0.35">
      <c r="A72" s="10"/>
      <c r="B72" s="10"/>
      <c r="C72" s="1" t="s">
        <v>7</v>
      </c>
      <c r="D72" s="4">
        <v>0.46153846153846151</v>
      </c>
    </row>
    <row r="73" spans="1:4" x14ac:dyDescent="0.35">
      <c r="A73" s="10"/>
      <c r="B73" s="10"/>
      <c r="C73" s="1" t="s">
        <v>5</v>
      </c>
      <c r="D73" s="4">
        <v>0.74046410256410256</v>
      </c>
    </row>
    <row r="74" spans="1:4" x14ac:dyDescent="0.35">
      <c r="A74" s="10"/>
      <c r="B74" s="10"/>
      <c r="C74" s="1" t="s">
        <v>6</v>
      </c>
      <c r="D74" s="4">
        <v>0.92589743583333328</v>
      </c>
    </row>
    <row r="75" spans="1:4" x14ac:dyDescent="0.35">
      <c r="A75" s="10">
        <f>2025-B75</f>
        <v>19</v>
      </c>
      <c r="B75" s="10">
        <v>2006</v>
      </c>
      <c r="C75" s="1" t="s">
        <v>3</v>
      </c>
      <c r="D75" s="4">
        <v>0.5843145298376069</v>
      </c>
    </row>
    <row r="76" spans="1:4" x14ac:dyDescent="0.35">
      <c r="A76" s="10"/>
      <c r="B76" s="10"/>
      <c r="C76" s="1" t="s">
        <v>4</v>
      </c>
      <c r="D76" s="4">
        <v>0.57135042738888886</v>
      </c>
    </row>
    <row r="77" spans="1:4" x14ac:dyDescent="0.35">
      <c r="A77" s="10"/>
      <c r="B77" s="10"/>
      <c r="C77" s="1" t="s">
        <v>7</v>
      </c>
      <c r="D77" s="4">
        <v>0.98499999999999999</v>
      </c>
    </row>
    <row r="78" spans="1:4" x14ac:dyDescent="0.35">
      <c r="A78" s="10"/>
      <c r="B78" s="10"/>
      <c r="C78" s="1" t="s">
        <v>5</v>
      </c>
      <c r="D78" s="4">
        <v>0.47243589743589742</v>
      </c>
    </row>
    <row r="79" spans="1:4" x14ac:dyDescent="0.35">
      <c r="A79" s="10"/>
      <c r="B79" s="10"/>
      <c r="C79" s="1" t="s">
        <v>6</v>
      </c>
      <c r="D79" s="4">
        <v>1.0778461537999999</v>
      </c>
    </row>
    <row r="80" spans="1:4" x14ac:dyDescent="0.35">
      <c r="A80" s="10">
        <f>2025-B80</f>
        <v>18</v>
      </c>
      <c r="B80" s="10">
        <v>2007</v>
      </c>
      <c r="C80" s="1" t="s">
        <v>3</v>
      </c>
      <c r="D80" s="4">
        <v>0.65477183828031293</v>
      </c>
    </row>
    <row r="81" spans="1:4" x14ac:dyDescent="0.35">
      <c r="A81" s="10"/>
      <c r="B81" s="10"/>
      <c r="C81" s="1" t="s">
        <v>4</v>
      </c>
      <c r="D81" s="4">
        <v>0.68118269230769235</v>
      </c>
    </row>
    <row r="82" spans="1:4" x14ac:dyDescent="0.35">
      <c r="A82" s="10"/>
      <c r="B82" s="10"/>
      <c r="C82" s="1" t="s">
        <v>7</v>
      </c>
      <c r="D82" s="4">
        <v>1.216666666666667</v>
      </c>
    </row>
    <row r="83" spans="1:4" x14ac:dyDescent="0.35">
      <c r="A83" s="10"/>
      <c r="B83" s="10"/>
      <c r="C83" s="1" t="s">
        <v>5</v>
      </c>
      <c r="D83" s="4">
        <v>0.51258741258741258</v>
      </c>
    </row>
    <row r="84" spans="1:4" x14ac:dyDescent="0.35">
      <c r="A84" s="10"/>
      <c r="B84" s="10"/>
      <c r="C84" s="1" t="s">
        <v>6</v>
      </c>
      <c r="D84" s="4">
        <v>0.60846153849999995</v>
      </c>
    </row>
    <row r="85" spans="1:4" x14ac:dyDescent="0.35">
      <c r="A85" s="10">
        <f>2025-B85</f>
        <v>17</v>
      </c>
      <c r="B85" s="10">
        <v>2008</v>
      </c>
      <c r="C85" s="1" t="s">
        <v>3</v>
      </c>
      <c r="D85" s="4">
        <v>0.60043254438047333</v>
      </c>
    </row>
    <row r="86" spans="1:4" x14ac:dyDescent="0.35">
      <c r="A86" s="10"/>
      <c r="B86" s="10"/>
      <c r="C86" s="1" t="s">
        <v>4</v>
      </c>
      <c r="D86" s="4">
        <v>0.73225743589743597</v>
      </c>
    </row>
    <row r="87" spans="1:4" x14ac:dyDescent="0.35">
      <c r="A87" s="10"/>
      <c r="B87" s="10"/>
      <c r="C87" s="1" t="s">
        <v>7</v>
      </c>
      <c r="D87" s="4">
        <v>0.38615384615384618</v>
      </c>
    </row>
    <row r="88" spans="1:4" x14ac:dyDescent="0.35">
      <c r="A88" s="10"/>
      <c r="B88" s="10"/>
      <c r="C88" s="1" t="s">
        <v>5</v>
      </c>
      <c r="D88" s="4">
        <v>0.57137820512820514</v>
      </c>
    </row>
    <row r="89" spans="1:4" x14ac:dyDescent="0.35">
      <c r="A89" s="10"/>
      <c r="B89" s="10"/>
      <c r="C89" s="1" t="s">
        <v>6</v>
      </c>
      <c r="D89" s="4">
        <v>0.5643269231875</v>
      </c>
    </row>
    <row r="90" spans="1:4" x14ac:dyDescent="0.35">
      <c r="A90" s="10">
        <f>2025-B90</f>
        <v>16</v>
      </c>
      <c r="B90" s="10">
        <v>2009</v>
      </c>
      <c r="C90" s="1" t="s">
        <v>3</v>
      </c>
      <c r="D90" s="4">
        <v>0.55696093646287625</v>
      </c>
    </row>
    <row r="91" spans="1:4" x14ac:dyDescent="0.35">
      <c r="A91" s="10"/>
      <c r="B91" s="10"/>
      <c r="C91" s="1" t="s">
        <v>4</v>
      </c>
      <c r="D91" s="4">
        <v>0.67437777777777774</v>
      </c>
    </row>
    <row r="92" spans="1:4" x14ac:dyDescent="0.35">
      <c r="A92" s="10"/>
      <c r="B92" s="10"/>
      <c r="C92" s="1" t="s">
        <v>7</v>
      </c>
      <c r="D92" s="4">
        <v>0.81538461500000003</v>
      </c>
    </row>
    <row r="93" spans="1:4" x14ac:dyDescent="0.35">
      <c r="A93" s="10"/>
      <c r="B93" s="10"/>
      <c r="C93" s="1" t="s">
        <v>5</v>
      </c>
      <c r="D93" s="4">
        <v>0.51925213675213677</v>
      </c>
    </row>
    <row r="94" spans="1:4" x14ac:dyDescent="0.35">
      <c r="A94" s="10"/>
      <c r="B94" s="10"/>
      <c r="C94" s="1" t="s">
        <v>6</v>
      </c>
      <c r="D94" s="4">
        <v>0.79956043957142853</v>
      </c>
    </row>
    <row r="95" spans="1:4" x14ac:dyDescent="0.35">
      <c r="A95" s="10">
        <f>2025-B95</f>
        <v>15</v>
      </c>
      <c r="B95" s="10">
        <v>2010</v>
      </c>
      <c r="C95" s="1" t="s">
        <v>3</v>
      </c>
      <c r="D95" s="4">
        <v>0.93254090909090903</v>
      </c>
    </row>
    <row r="96" spans="1:4" x14ac:dyDescent="0.35">
      <c r="A96" s="10"/>
      <c r="B96" s="10"/>
      <c r="C96" s="1" t="s">
        <v>4</v>
      </c>
      <c r="D96" s="4">
        <v>0.90536363636363637</v>
      </c>
    </row>
    <row r="97" spans="1:4" x14ac:dyDescent="0.35">
      <c r="A97" s="10"/>
      <c r="B97" s="10"/>
      <c r="C97" s="1" t="s">
        <v>7</v>
      </c>
      <c r="D97" s="4">
        <v>0.70850000000000002</v>
      </c>
    </row>
    <row r="98" spans="1:4" x14ac:dyDescent="0.35">
      <c r="A98" s="10"/>
      <c r="B98" s="10"/>
      <c r="C98" s="1" t="s">
        <v>5</v>
      </c>
      <c r="D98" s="4">
        <v>0.62154999999999994</v>
      </c>
    </row>
    <row r="99" spans="1:4" x14ac:dyDescent="0.35">
      <c r="A99" s="10"/>
      <c r="B99" s="10"/>
      <c r="C99" s="1" t="s">
        <v>6</v>
      </c>
      <c r="D99" s="4">
        <v>1.115367647058823</v>
      </c>
    </row>
    <row r="100" spans="1:4" x14ac:dyDescent="0.35">
      <c r="A100" s="10">
        <f>2025-B100</f>
        <v>14</v>
      </c>
      <c r="B100" s="10">
        <v>2011</v>
      </c>
      <c r="C100" s="1" t="s">
        <v>3</v>
      </c>
      <c r="D100" s="4">
        <v>0.86815781250000001</v>
      </c>
    </row>
    <row r="101" spans="1:4" x14ac:dyDescent="0.35">
      <c r="A101" s="10"/>
      <c r="B101" s="10"/>
      <c r="C101" s="1" t="s">
        <v>4</v>
      </c>
      <c r="D101" s="4">
        <v>0.65945000000000009</v>
      </c>
    </row>
    <row r="102" spans="1:4" x14ac:dyDescent="0.35">
      <c r="A102" s="10"/>
      <c r="B102" s="10"/>
      <c r="C102" s="1" t="s">
        <v>7</v>
      </c>
      <c r="D102" s="4">
        <v>1.5162500000000001</v>
      </c>
    </row>
    <row r="103" spans="1:4" x14ac:dyDescent="0.35">
      <c r="A103" s="10"/>
      <c r="B103" s="10"/>
      <c r="C103" s="1" t="s">
        <v>5</v>
      </c>
      <c r="D103" s="4">
        <v>0.66012499999999996</v>
      </c>
    </row>
    <row r="104" spans="1:4" x14ac:dyDescent="0.35">
      <c r="A104" s="10"/>
      <c r="B104" s="10"/>
      <c r="C104" s="1" t="s">
        <v>6</v>
      </c>
      <c r="D104" s="4">
        <v>0.88729166666666659</v>
      </c>
    </row>
    <row r="105" spans="1:4" x14ac:dyDescent="0.35">
      <c r="A105" s="10">
        <f>2025-B105</f>
        <v>13</v>
      </c>
      <c r="B105" s="10">
        <v>2012</v>
      </c>
      <c r="C105" s="1" t="s">
        <v>3</v>
      </c>
      <c r="D105" s="4">
        <v>0.73598007712082258</v>
      </c>
    </row>
    <row r="106" spans="1:4" x14ac:dyDescent="0.35">
      <c r="A106" s="10"/>
      <c r="B106" s="10"/>
      <c r="C106" s="1" t="s">
        <v>4</v>
      </c>
      <c r="D106" s="4">
        <v>0.6948418367346938</v>
      </c>
    </row>
    <row r="107" spans="1:4" x14ac:dyDescent="0.35">
      <c r="A107" s="10"/>
      <c r="B107" s="10"/>
      <c r="C107" s="1" t="s">
        <v>7</v>
      </c>
      <c r="D107" s="4">
        <v>0.52160000000000006</v>
      </c>
    </row>
    <row r="108" spans="1:4" x14ac:dyDescent="0.35">
      <c r="A108" s="10"/>
      <c r="B108" s="10"/>
      <c r="C108" s="1" t="s">
        <v>5</v>
      </c>
      <c r="D108" s="4">
        <v>0.46900793650793648</v>
      </c>
    </row>
    <row r="109" spans="1:4" x14ac:dyDescent="0.35">
      <c r="A109" s="10"/>
      <c r="B109" s="10"/>
      <c r="C109" s="1" t="s">
        <v>6</v>
      </c>
      <c r="D109" s="4">
        <v>0.98256976744186053</v>
      </c>
    </row>
    <row r="110" spans="1:4" x14ac:dyDescent="0.35">
      <c r="A110" s="10">
        <f>2025-B110</f>
        <v>12</v>
      </c>
      <c r="B110" s="10">
        <v>2013</v>
      </c>
      <c r="C110" s="1" t="s">
        <v>3</v>
      </c>
      <c r="D110" s="4">
        <v>0.74556104033970272</v>
      </c>
    </row>
    <row r="111" spans="1:4" x14ac:dyDescent="0.35">
      <c r="A111" s="10"/>
      <c r="B111" s="10"/>
      <c r="C111" s="1" t="s">
        <v>4</v>
      </c>
      <c r="D111" s="4">
        <v>0.75107985074626871</v>
      </c>
    </row>
    <row r="112" spans="1:4" x14ac:dyDescent="0.35">
      <c r="A112" s="10"/>
      <c r="B112" s="10"/>
      <c r="C112" s="1" t="s">
        <v>7</v>
      </c>
      <c r="D112" s="4">
        <v>0.6435833333333334</v>
      </c>
    </row>
    <row r="113" spans="1:4" x14ac:dyDescent="0.35">
      <c r="A113" s="10"/>
      <c r="B113" s="10"/>
      <c r="C113" s="1" t="s">
        <v>5</v>
      </c>
      <c r="D113" s="4">
        <v>0.53092982456140347</v>
      </c>
    </row>
    <row r="114" spans="1:4" x14ac:dyDescent="0.35">
      <c r="A114" s="10"/>
      <c r="B114" s="10"/>
      <c r="C114" s="1" t="s">
        <v>6</v>
      </c>
      <c r="D114" s="4">
        <v>1.072972222222222</v>
      </c>
    </row>
    <row r="115" spans="1:4" x14ac:dyDescent="0.35">
      <c r="A115" s="10">
        <f>2025-B115</f>
        <v>11</v>
      </c>
      <c r="B115" s="10">
        <v>2014</v>
      </c>
      <c r="C115" s="1" t="s">
        <v>3</v>
      </c>
      <c r="D115" s="4">
        <v>0.68627018229166659</v>
      </c>
    </row>
    <row r="116" spans="1:4" x14ac:dyDescent="0.35">
      <c r="A116" s="10"/>
      <c r="B116" s="10"/>
      <c r="C116" s="1" t="s">
        <v>4</v>
      </c>
      <c r="D116" s="4">
        <v>0.65140303030303026</v>
      </c>
    </row>
    <row r="117" spans="1:4" x14ac:dyDescent="0.35">
      <c r="A117" s="10"/>
      <c r="B117" s="10"/>
      <c r="C117" s="1" t="s">
        <v>7</v>
      </c>
      <c r="D117" s="4">
        <v>0.81886363636363635</v>
      </c>
    </row>
    <row r="118" spans="1:4" x14ac:dyDescent="0.35">
      <c r="A118" s="10"/>
      <c r="B118" s="10"/>
      <c r="C118" s="1" t="s">
        <v>5</v>
      </c>
      <c r="D118" s="4">
        <v>0.51797991071428573</v>
      </c>
    </row>
    <row r="119" spans="1:4" x14ac:dyDescent="0.35">
      <c r="A119" s="10"/>
      <c r="B119" s="10"/>
      <c r="C119" s="1" t="s">
        <v>6</v>
      </c>
      <c r="D119" s="4">
        <v>0.98898076923076927</v>
      </c>
    </row>
    <row r="120" spans="1:4" x14ac:dyDescent="0.35">
      <c r="A120" s="10">
        <f>2025-B120</f>
        <v>10</v>
      </c>
      <c r="B120" s="10">
        <v>2015</v>
      </c>
      <c r="C120" s="1" t="s">
        <v>3</v>
      </c>
      <c r="D120" s="4">
        <v>0.63268079584775083</v>
      </c>
    </row>
    <row r="121" spans="1:4" x14ac:dyDescent="0.35">
      <c r="A121" s="10"/>
      <c r="B121" s="10"/>
      <c r="C121" s="1" t="s">
        <v>4</v>
      </c>
      <c r="D121" s="4">
        <v>0.73623661971830978</v>
      </c>
    </row>
    <row r="122" spans="1:4" x14ac:dyDescent="0.35">
      <c r="A122" s="10"/>
      <c r="B122" s="10"/>
      <c r="C122" s="1" t="s">
        <v>7</v>
      </c>
      <c r="D122" s="4">
        <v>0.53496428571428567</v>
      </c>
    </row>
    <row r="123" spans="1:4" x14ac:dyDescent="0.35">
      <c r="A123" s="10"/>
      <c r="B123" s="10"/>
      <c r="C123" s="1" t="s">
        <v>5</v>
      </c>
      <c r="D123" s="4">
        <v>0.60647328244274801</v>
      </c>
    </row>
    <row r="124" spans="1:4" x14ac:dyDescent="0.35">
      <c r="A124" s="10"/>
      <c r="B124" s="10"/>
      <c r="C124" s="1" t="s">
        <v>6</v>
      </c>
      <c r="D124" s="4">
        <v>0.81137931034482758</v>
      </c>
    </row>
    <row r="125" spans="1:4" x14ac:dyDescent="0.35">
      <c r="A125" s="10">
        <f>2025-B125</f>
        <v>9</v>
      </c>
      <c r="B125" s="10">
        <v>2016</v>
      </c>
      <c r="C125" s="1" t="s">
        <v>3</v>
      </c>
      <c r="D125" s="4">
        <v>0.4916756501182033</v>
      </c>
    </row>
    <row r="126" spans="1:4" x14ac:dyDescent="0.35">
      <c r="A126" s="10"/>
      <c r="B126" s="10"/>
      <c r="C126" s="1" t="s">
        <v>4</v>
      </c>
      <c r="D126" s="4">
        <v>0.72921896551724141</v>
      </c>
    </row>
    <row r="127" spans="1:4" x14ac:dyDescent="0.35">
      <c r="A127" s="10"/>
      <c r="B127" s="10"/>
      <c r="C127" s="1" t="s">
        <v>7</v>
      </c>
      <c r="D127" s="4">
        <v>0.57099999999999995</v>
      </c>
    </row>
    <row r="128" spans="1:4" x14ac:dyDescent="0.35">
      <c r="A128" s="10"/>
      <c r="B128" s="10"/>
      <c r="C128" s="1" t="s">
        <v>5</v>
      </c>
      <c r="D128" s="4">
        <v>0.50725307692307686</v>
      </c>
    </row>
    <row r="129" spans="1:4" x14ac:dyDescent="0.35">
      <c r="A129" s="10"/>
      <c r="B129" s="10"/>
      <c r="C129" s="1" t="s">
        <v>6</v>
      </c>
      <c r="D129" s="4">
        <v>0.85507812500000002</v>
      </c>
    </row>
    <row r="130" spans="1:4" x14ac:dyDescent="0.35">
      <c r="A130" s="10">
        <f t="shared" ref="A130" si="0">2025-B130</f>
        <v>8</v>
      </c>
      <c r="B130" s="10">
        <v>2017</v>
      </c>
      <c r="C130" s="1" t="s">
        <v>3</v>
      </c>
      <c r="D130" s="4">
        <v>0.47353861111111112</v>
      </c>
    </row>
    <row r="131" spans="1:4" x14ac:dyDescent="0.35">
      <c r="A131" s="10"/>
      <c r="B131" s="10"/>
      <c r="C131" s="1" t="s">
        <v>4</v>
      </c>
      <c r="D131" s="4">
        <v>0.70630652173913044</v>
      </c>
    </row>
    <row r="132" spans="1:4" x14ac:dyDescent="0.35">
      <c r="A132" s="10"/>
      <c r="B132" s="10"/>
      <c r="C132" s="1" t="s">
        <v>7</v>
      </c>
      <c r="D132" s="4">
        <v>0.40692499999999998</v>
      </c>
    </row>
    <row r="133" spans="1:4" x14ac:dyDescent="0.35">
      <c r="A133" s="10"/>
      <c r="B133" s="10"/>
      <c r="C133" s="1" t="s">
        <v>5</v>
      </c>
      <c r="D133" s="4">
        <v>0.56957258064516125</v>
      </c>
    </row>
    <row r="134" spans="1:4" x14ac:dyDescent="0.35">
      <c r="A134" s="10"/>
      <c r="B134" s="10"/>
      <c r="C134" s="1" t="s">
        <v>6</v>
      </c>
      <c r="D134" s="4">
        <v>0.81845238095238093</v>
      </c>
    </row>
    <row r="135" spans="1:4" x14ac:dyDescent="0.35">
      <c r="A135" s="10">
        <f t="shared" ref="A135" si="1">2025-B135</f>
        <v>7</v>
      </c>
      <c r="B135" s="10">
        <v>2018</v>
      </c>
      <c r="C135" s="1" t="s">
        <v>3</v>
      </c>
      <c r="D135" s="4">
        <v>0.44943931469792608</v>
      </c>
    </row>
    <row r="136" spans="1:4" x14ac:dyDescent="0.35">
      <c r="A136" s="10"/>
      <c r="B136" s="10"/>
      <c r="C136" s="1" t="s">
        <v>4</v>
      </c>
      <c r="D136" s="4">
        <v>0.59640107142857146</v>
      </c>
    </row>
    <row r="137" spans="1:4" x14ac:dyDescent="0.35">
      <c r="A137" s="10"/>
      <c r="B137" s="10"/>
      <c r="C137" s="1" t="s">
        <v>7</v>
      </c>
      <c r="D137" s="4">
        <v>0.62374999999999992</v>
      </c>
    </row>
    <row r="138" spans="1:4" x14ac:dyDescent="0.35">
      <c r="A138" s="10"/>
      <c r="B138" s="10"/>
      <c r="C138" s="1" t="s">
        <v>5</v>
      </c>
      <c r="D138" s="4">
        <v>0.56804666666666659</v>
      </c>
    </row>
    <row r="139" spans="1:4" x14ac:dyDescent="0.35">
      <c r="A139" s="10"/>
      <c r="B139" s="10"/>
      <c r="C139" s="1" t="s">
        <v>6</v>
      </c>
      <c r="D139" s="4">
        <v>0.84580357142857143</v>
      </c>
    </row>
    <row r="140" spans="1:4" x14ac:dyDescent="0.35">
      <c r="A140" s="10">
        <f t="shared" ref="A140" si="2">2025-B140</f>
        <v>6</v>
      </c>
      <c r="B140" s="10">
        <v>2019</v>
      </c>
      <c r="C140" s="1" t="s">
        <v>3</v>
      </c>
      <c r="D140" s="4">
        <v>0.44940971540726199</v>
      </c>
    </row>
    <row r="141" spans="1:4" x14ac:dyDescent="0.35">
      <c r="A141" s="10"/>
      <c r="B141" s="10"/>
      <c r="C141" s="1" t="s">
        <v>4</v>
      </c>
      <c r="D141" s="4">
        <v>0.66841573033707857</v>
      </c>
    </row>
    <row r="142" spans="1:4" x14ac:dyDescent="0.35">
      <c r="A142" s="10"/>
      <c r="B142" s="10"/>
      <c r="C142" s="1" t="s">
        <v>7</v>
      </c>
      <c r="D142" s="4">
        <v>0.61216666666666664</v>
      </c>
    </row>
    <row r="143" spans="1:4" x14ac:dyDescent="0.35">
      <c r="A143" s="10"/>
      <c r="B143" s="10"/>
      <c r="C143" s="1" t="s">
        <v>5</v>
      </c>
      <c r="D143" s="4">
        <v>0.64132222222222224</v>
      </c>
    </row>
    <row r="144" spans="1:4" x14ac:dyDescent="0.35">
      <c r="A144" s="10"/>
      <c r="B144" s="10"/>
      <c r="C144" s="1" t="s">
        <v>6</v>
      </c>
      <c r="D144" s="4">
        <v>1.3356250000000001</v>
      </c>
    </row>
    <row r="145" spans="1:4" x14ac:dyDescent="0.35">
      <c r="A145" s="10">
        <f t="shared" ref="A145" si="3">2025-B145</f>
        <v>5</v>
      </c>
      <c r="B145" s="10">
        <v>2020</v>
      </c>
      <c r="C145" s="1" t="s">
        <v>3</v>
      </c>
      <c r="D145" s="4">
        <v>0.40537630662020913</v>
      </c>
    </row>
    <row r="146" spans="1:4" x14ac:dyDescent="0.35">
      <c r="A146" s="10"/>
      <c r="B146" s="10"/>
      <c r="C146" s="1" t="s">
        <v>4</v>
      </c>
      <c r="D146" s="4">
        <v>0.69129000000000007</v>
      </c>
    </row>
    <row r="147" spans="1:4" x14ac:dyDescent="0.35">
      <c r="A147" s="10"/>
      <c r="B147" s="10"/>
      <c r="C147" s="1" t="s">
        <v>7</v>
      </c>
      <c r="D147" s="4">
        <v>0.61499999999999999</v>
      </c>
    </row>
    <row r="148" spans="1:4" x14ac:dyDescent="0.35">
      <c r="A148" s="10"/>
      <c r="B148" s="10"/>
      <c r="C148" s="1" t="s">
        <v>5</v>
      </c>
      <c r="D148" s="4">
        <v>0.51047727272727272</v>
      </c>
    </row>
    <row r="149" spans="1:4" x14ac:dyDescent="0.35">
      <c r="A149" s="10"/>
      <c r="B149" s="10"/>
      <c r="C149" s="1" t="s">
        <v>6</v>
      </c>
      <c r="D149" s="4">
        <v>1.2517499999999999</v>
      </c>
    </row>
    <row r="150" spans="1:4" x14ac:dyDescent="0.35">
      <c r="A150" s="10">
        <f t="shared" ref="A150" si="4">2025-B150</f>
        <v>4</v>
      </c>
      <c r="B150" s="10">
        <v>2021</v>
      </c>
      <c r="C150" s="1" t="s">
        <v>3</v>
      </c>
      <c r="D150" s="4">
        <v>0.38622730158730162</v>
      </c>
    </row>
    <row r="151" spans="1:4" x14ac:dyDescent="0.35">
      <c r="A151" s="10"/>
      <c r="B151" s="10"/>
      <c r="C151" s="1" t="s">
        <v>4</v>
      </c>
      <c r="D151" s="4">
        <v>0.57729296875000002</v>
      </c>
    </row>
    <row r="152" spans="1:4" x14ac:dyDescent="0.35">
      <c r="A152" s="10"/>
      <c r="B152" s="10"/>
      <c r="C152" s="1" t="s">
        <v>7</v>
      </c>
      <c r="D152" s="4">
        <v>0.04</v>
      </c>
    </row>
    <row r="153" spans="1:4" x14ac:dyDescent="0.35">
      <c r="A153" s="10"/>
      <c r="B153" s="10"/>
      <c r="C153" s="1" t="s">
        <v>5</v>
      </c>
      <c r="D153" s="4">
        <v>0.50816176470588237</v>
      </c>
    </row>
    <row r="154" spans="1:4" x14ac:dyDescent="0.35">
      <c r="A154" s="10"/>
      <c r="B154" s="10"/>
      <c r="C154" s="1" t="s">
        <v>6</v>
      </c>
      <c r="D154" s="4">
        <v>0.35025000000000001</v>
      </c>
    </row>
    <row r="155" spans="1:4" x14ac:dyDescent="0.35">
      <c r="A155" s="10">
        <f t="shared" ref="A155" si="5">2025-B155</f>
        <v>3</v>
      </c>
      <c r="B155" s="10">
        <v>2022</v>
      </c>
      <c r="C155" s="1" t="s">
        <v>3</v>
      </c>
      <c r="D155" s="4">
        <v>0.43871069526212497</v>
      </c>
    </row>
    <row r="156" spans="1:4" x14ac:dyDescent="0.35">
      <c r="A156" s="10"/>
      <c r="B156" s="10"/>
      <c r="C156" s="1" t="s">
        <v>4</v>
      </c>
      <c r="D156" s="4">
        <v>0.55331962209302321</v>
      </c>
    </row>
    <row r="157" spans="1:4" x14ac:dyDescent="0.35">
      <c r="A157" s="10"/>
      <c r="B157" s="10"/>
      <c r="C157" s="1" t="s">
        <v>7</v>
      </c>
      <c r="D157" s="4">
        <v>0.5396899224806202</v>
      </c>
    </row>
    <row r="158" spans="1:4" x14ac:dyDescent="0.35">
      <c r="A158" s="10"/>
      <c r="B158" s="10"/>
      <c r="C158" s="1" t="s">
        <v>5</v>
      </c>
      <c r="D158" s="4">
        <v>0.3246127292340884</v>
      </c>
    </row>
    <row r="159" spans="1:4" x14ac:dyDescent="0.35">
      <c r="A159" s="10"/>
      <c r="B159" s="10"/>
      <c r="C159" s="1" t="s">
        <v>6</v>
      </c>
      <c r="D159" s="4">
        <v>0.4111111111111112</v>
      </c>
    </row>
    <row r="160" spans="1:4" x14ac:dyDescent="0.35">
      <c r="A160" s="10">
        <f t="shared" ref="A160" si="6">2025-B160</f>
        <v>2</v>
      </c>
      <c r="B160" s="10">
        <v>2023</v>
      </c>
      <c r="C160" s="1" t="s">
        <v>3</v>
      </c>
      <c r="D160" s="4">
        <v>0.42081614239810577</v>
      </c>
    </row>
    <row r="161" spans="1:4" x14ac:dyDescent="0.35">
      <c r="A161" s="10"/>
      <c r="B161" s="10"/>
      <c r="C161" s="1" t="s">
        <v>4</v>
      </c>
      <c r="D161" s="4">
        <v>0.51508708708708706</v>
      </c>
    </row>
    <row r="162" spans="1:4" x14ac:dyDescent="0.35">
      <c r="A162" s="10"/>
      <c r="B162" s="10"/>
      <c r="C162" s="1" t="s">
        <v>7</v>
      </c>
      <c r="D162" s="4">
        <v>0.39532142857142849</v>
      </c>
    </row>
    <row r="163" spans="1:4" x14ac:dyDescent="0.35">
      <c r="A163" s="10"/>
      <c r="B163" s="10"/>
      <c r="C163" s="1" t="s">
        <v>5</v>
      </c>
      <c r="D163" s="4">
        <v>0.31596521739130429</v>
      </c>
    </row>
    <row r="164" spans="1:4" x14ac:dyDescent="0.35">
      <c r="A164" s="10"/>
      <c r="B164" s="10"/>
      <c r="C164" s="1" t="s">
        <v>6</v>
      </c>
      <c r="D164" s="4">
        <v>0.29093333333333332</v>
      </c>
    </row>
    <row r="165" spans="1:4" x14ac:dyDescent="0.35">
      <c r="A165" s="10">
        <f t="shared" ref="A165" si="7">2025-B165</f>
        <v>1</v>
      </c>
      <c r="B165" s="10">
        <v>2024</v>
      </c>
      <c r="C165" s="1" t="s">
        <v>3</v>
      </c>
      <c r="D165" s="4">
        <v>0.34894949494949501</v>
      </c>
    </row>
    <row r="166" spans="1:4" x14ac:dyDescent="0.35">
      <c r="A166" s="10"/>
      <c r="B166" s="10"/>
      <c r="C166" s="1" t="s">
        <v>4</v>
      </c>
      <c r="D166" s="4">
        <v>0.48595238095238091</v>
      </c>
    </row>
    <row r="167" spans="1:4" x14ac:dyDescent="0.35">
      <c r="A167" s="10"/>
      <c r="B167" s="10"/>
      <c r="C167" s="1" t="s">
        <v>7</v>
      </c>
      <c r="D167" s="4">
        <v>0.5066666666666666</v>
      </c>
    </row>
    <row r="168" spans="1:4" x14ac:dyDescent="0.35">
      <c r="A168" s="10"/>
      <c r="B168" s="10"/>
      <c r="C168" s="1" t="s">
        <v>5</v>
      </c>
      <c r="D168" s="4">
        <v>0.35095238095238102</v>
      </c>
    </row>
    <row r="169" spans="1:4" x14ac:dyDescent="0.35">
      <c r="A169" s="10"/>
      <c r="B169" s="10"/>
      <c r="C169" s="1" t="s">
        <v>6</v>
      </c>
      <c r="D169" s="4">
        <v>0.4</v>
      </c>
    </row>
  </sheetData>
  <mergeCells count="70">
    <mergeCell ref="B85:B89"/>
    <mergeCell ref="B150:B154"/>
    <mergeCell ref="B125:B129"/>
    <mergeCell ref="B135:B139"/>
    <mergeCell ref="B115:B119"/>
    <mergeCell ref="B100:B104"/>
    <mergeCell ref="B140:B144"/>
    <mergeCell ref="B165:B169"/>
    <mergeCell ref="B41:B44"/>
    <mergeCell ref="B130:B134"/>
    <mergeCell ref="B155:B159"/>
    <mergeCell ref="B31:B35"/>
    <mergeCell ref="B110:B114"/>
    <mergeCell ref="B70:B74"/>
    <mergeCell ref="B65:B69"/>
    <mergeCell ref="B145:B149"/>
    <mergeCell ref="B90:B94"/>
    <mergeCell ref="B80:B84"/>
    <mergeCell ref="B75:B79"/>
    <mergeCell ref="B120:B124"/>
    <mergeCell ref="B105:B109"/>
    <mergeCell ref="B95:B99"/>
    <mergeCell ref="B160:B164"/>
    <mergeCell ref="B2:B5"/>
    <mergeCell ref="B60:B64"/>
    <mergeCell ref="B36:B40"/>
    <mergeCell ref="B45:B49"/>
    <mergeCell ref="B19:B22"/>
    <mergeCell ref="B6:B10"/>
    <mergeCell ref="B50:B54"/>
    <mergeCell ref="B15:B18"/>
    <mergeCell ref="B55:B59"/>
    <mergeCell ref="B11:B14"/>
    <mergeCell ref="B27:B30"/>
    <mergeCell ref="B23:B26"/>
    <mergeCell ref="A2:A5"/>
    <mergeCell ref="A6:A10"/>
    <mergeCell ref="A11:A14"/>
    <mergeCell ref="A15:A18"/>
    <mergeCell ref="A19:A22"/>
    <mergeCell ref="A23:A26"/>
    <mergeCell ref="A27:A30"/>
    <mergeCell ref="A31:A35"/>
    <mergeCell ref="A36:A40"/>
    <mergeCell ref="A41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9"/>
    <mergeCell ref="A110:A114"/>
    <mergeCell ref="A115:A119"/>
    <mergeCell ref="A120:A124"/>
    <mergeCell ref="A125:A129"/>
    <mergeCell ref="A130:A134"/>
    <mergeCell ref="A135:A139"/>
    <mergeCell ref="A140:A144"/>
    <mergeCell ref="A145:A149"/>
    <mergeCell ref="A150:A154"/>
    <mergeCell ref="A155:A159"/>
    <mergeCell ref="A160:A164"/>
    <mergeCell ref="A165:A1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Kendaraan Roda Dua</vt:lpstr>
      <vt:lpstr>Bensin</vt:lpstr>
      <vt:lpstr>Solar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Sigit Tri Atmaja</cp:lastModifiedBy>
  <dcterms:created xsi:type="dcterms:W3CDTF">2025-11-11T05:17:58Z</dcterms:created>
  <dcterms:modified xsi:type="dcterms:W3CDTF">2025-11-12T04:16:08Z</dcterms:modified>
</cp:coreProperties>
</file>